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e681920fe6e742e3" /></Relationships>
</file>

<file path=xl/workbook.xml><?xml version="1.0" encoding="utf-8"?>
<x:workbook xmlns:x="http://schemas.openxmlformats.org/spreadsheetml/2006/main">
  <x:sheets>
    <x:sheet xmlns:r="http://schemas.openxmlformats.org/officeDocument/2006/relationships" name="START HERE" sheetId="1" r:id="R7484b0e8f0d74de1"/>
    <x:sheet xmlns:r="http://schemas.openxmlformats.org/officeDocument/2006/relationships" name="Cohort Allocation" sheetId="2" r:id="Rb990c567d9b34aa0"/>
    <x:sheet xmlns:r="http://schemas.openxmlformats.org/officeDocument/2006/relationships" name="Evaluation Plan" sheetId="3" r:id="Rf2074f53dbb7417b"/>
    <x:sheet xmlns:r="http://schemas.openxmlformats.org/officeDocument/2006/relationships" name="Case Manifest" sheetId="4" r:id="R6aee2e0d93d04e06"/>
    <x:sheet xmlns:r="http://schemas.openxmlformats.org/officeDocument/2006/relationships" name="Metrics and Denominators" sheetId="5" r:id="R5d6363ae46d14832"/>
    <x:sheet xmlns:r="http://schemas.openxmlformats.org/officeDocument/2006/relationships" name="Safety Test Rules" sheetId="6" r:id="R9b2ee100faf14414"/>
    <x:sheet xmlns:r="http://schemas.openxmlformats.org/officeDocument/2006/relationships" name="FHIR Checkpoints" sheetId="7" r:id="Rc79857a2cff84f05"/>
    <x:sheet xmlns:r="http://schemas.openxmlformats.org/officeDocument/2006/relationships" name="Execution Log" sheetId="8" r:id="Rde762f09117f4346"/>
    <x:sheet xmlns:r="http://schemas.openxmlformats.org/officeDocument/2006/relationships" name="Readiness Gates" sheetId="9" r:id="R35e29c6fb96c46ea"/>
    <x:sheet xmlns:r="http://schemas.openxmlformats.org/officeDocument/2006/relationships" name="Evaluation Dashboard" sheetId="10" r:id="R233ef6db632f40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1"/>
      <x:color rgb="FFFFFFFF"/>
      <x:name val="Carlito"/>
    </x:font>
    <x:font>
      <x:b/>
      <x:sz val="17"/>
      <x:color rgb="FFFFFFFF"/>
      <x:name val="Carlito"/>
    </x:font>
    <x:font>
      <x:sz val="10"/>
      <x:color rgb="FF38516C"/>
      <x:name val="Carlito"/>
    </x:font>
    <x:font>
      <x:sz val="10"/>
      <x:color rgb="FF744F19"/>
      <x:name val="Carlito"/>
    </x:font>
    <x:font>
      <x:b/>
      <x:sz val="11"/>
      <x:color rgb="FF15483E"/>
      <x:name val="Carlito"/>
    </x:font>
    <x:font>
      <x:i/>
      <x:sz val="10"/>
      <x:color rgb="FF48637D"/>
      <x:name val="Carlito"/>
    </x:font>
  </x:fonts>
  <x:fills count="8">
    <x:fill>
      <x:patternFill patternType="none"/>
    </x:fill>
    <x:fill>
      <x:patternFill patternType="gray125"/>
    </x:fill>
    <x:fill>
      <x:patternFill patternType="solid">
        <x:fgColor rgb="FF19324A"/>
      </x:patternFill>
    </x:fill>
    <x:fill>
      <x:patternFill patternType="solid">
        <x:fgColor rgb="FF14243A"/>
      </x:patternFill>
    </x:fill>
    <x:fill>
      <x:patternFill patternType="solid">
        <x:fgColor rgb="FFEAF1F7"/>
      </x:patternFill>
    </x:fill>
    <x:fill>
      <x:patternFill patternType="solid">
        <x:fgColor rgb="FFFFF1DF"/>
      </x:patternFill>
    </x:fill>
    <x:fill>
      <x:patternFill patternType="solid">
        <x:fgColor rgb="FF1B566F"/>
      </x:patternFill>
    </x:fill>
    <x:fill>
      <x:patternFill patternType="solid">
        <x:fgColor rgb="FFE2F1ED"/>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20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200" fontId="0" fillId="7" borderId="0" xfId="0" applyNumberFormat="1" applyFont="1" applyFill="1" applyBorder="1"/>
    <x:xf numFmtId="200" fontId="5" fillId="7" borderId="0" xfId="0" applyNumberFormat="1" applyFont="1" applyFill="1" applyBorder="1"/>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d9ead454094e54" /><Relationship Type="http://schemas.openxmlformats.org/officeDocument/2006/relationships/theme" Target="/xl/theme/theme1.xml" Id="Rdd55f35fafd94296" /><Relationship Type="http://schemas.openxmlformats.org/officeDocument/2006/relationships/sharedStrings" Target="/xl/sharedStrings.xml" Id="R313a31b1bd2440dc" /><Relationship Type="http://schemas.openxmlformats.org/officeDocument/2006/relationships/worksheet" Target="/xl/worksheets/sheet1.xml" Id="R7484b0e8f0d74de1" /><Relationship Type="http://schemas.openxmlformats.org/officeDocument/2006/relationships/worksheet" Target="/xl/worksheets/sheet2.xml" Id="Rb990c567d9b34aa0" /><Relationship Type="http://schemas.openxmlformats.org/officeDocument/2006/relationships/worksheet" Target="/xl/worksheets/sheet3.xml" Id="Rf2074f53dbb7417b" /><Relationship Type="http://schemas.openxmlformats.org/officeDocument/2006/relationships/worksheet" Target="/xl/worksheets/sheet4.xml" Id="R6aee2e0d93d04e06" /><Relationship Type="http://schemas.openxmlformats.org/officeDocument/2006/relationships/worksheet" Target="/xl/worksheets/sheet5.xml" Id="R5d6363ae46d14832" /><Relationship Type="http://schemas.openxmlformats.org/officeDocument/2006/relationships/worksheet" Target="/xl/worksheets/sheet6.xml" Id="R9b2ee100faf14414" /><Relationship Type="http://schemas.openxmlformats.org/officeDocument/2006/relationships/worksheet" Target="/xl/worksheets/sheet7.xml" Id="Rc79857a2cff84f05" /><Relationship Type="http://schemas.openxmlformats.org/officeDocument/2006/relationships/worksheet" Target="/xl/worksheets/sheet8.xml" Id="Rde762f09117f4346" /><Relationship Type="http://schemas.openxmlformats.org/officeDocument/2006/relationships/worksheet" Target="/xl/worksheets/sheet9.xml" Id="R35e29c6fb96c46ea" /><Relationship Type="http://schemas.openxmlformats.org/officeDocument/2006/relationships/worksheet" Target="/xl/worksheets/sheet10.xml" Id="R233ef6db632f408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573570d44a74e91" /><Relationship Type="http://schemas.openxmlformats.org/officeDocument/2006/relationships/chart" Target="/xl/drawings/charts/chart2.xml" Id="Rd8ce06a4f726488b" /><Relationship Type="http://schemas.openxmlformats.org/officeDocument/2006/relationships/chart" Target="/xl/drawings/charts/chart3.xml" Id="R59c57e39782245d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Planned scenarios by stratum</a:t>
            </a:r>
          </a:p>
        </c:rich>
      </c:tx>
      <c:overlay val="0"/>
    </c:title>
    <c:plotArea>
      <c:barChart>
        <c:barDir val="col"/>
        <c:varyColors val="0"/>
        <c:ser>
          <c:idx val="0"/>
          <c:order val="0"/>
          <c:tx>
            <c:v>COUNT</c:v>
          </c:tx>
          <c:cat>
            <c:strRef>
              <c:f>'Evaluation Dashboard'!$A$6:$A$10</c:f>
              <c:strCache>
                <c:ptCount val="0"/>
              </c:strCache>
            </c:strRef>
          </c:cat>
          <c:val>
            <c:numRef>
              <c:f>'Evaluation Dashboard'!$B$6:$B$10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Planned age coverage</a:t>
            </a:r>
          </a:p>
        </c:rich>
      </c:tx>
      <c:overlay val="0"/>
    </c:title>
    <c:plotArea>
      <c:barChart>
        <c:barDir val="col"/>
        <c:varyColors val="0"/>
        <c:ser>
          <c:idx val="0"/>
          <c:order val="0"/>
          <c:tx>
            <c:v>CASES</c:v>
          </c:tx>
          <c:cat>
            <c:strRef>
              <c:f>'Evaluation Dashboard'!$D$6:$D$7</c:f>
              <c:strCache>
                <c:ptCount val="0"/>
              </c:strCache>
            </c:strRef>
          </c:cat>
          <c:val>
            <c:numRef>
              <c:f>'Evaluation Dashboard'!$E$6:$E$7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Execution status (live from Case Manifest)</a:t>
            </a:r>
          </a:p>
        </c:rich>
      </c:tx>
      <c:overlay val="0"/>
    </c:title>
    <c:plotArea>
      <c:barChart>
        <c:barDir val="col"/>
        <c:varyColors val="0"/>
        <c:ser>
          <c:idx val="0"/>
          <c:order val="0"/>
          <c:tx>
            <c:v>CASES</c:v>
          </c:tx>
          <c:cat>
            <c:strRef>
              <c:f>'Evaluation Dashboard'!$D$10:$D$13</c:f>
              <c:strCache>
                <c:ptCount val="0"/>
              </c:strCache>
            </c:strRef>
          </c:cat>
          <c:val>
            <c:numRef>
              <c:f>'Evaluation Dashboard'!$E$10:$E$13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573570d44a74e91"/>
        </a:graphicData>
      </a:graphic>
    </xdr:graphicFrame>
    <xdr:clientData/>
  </xdr:twoCellAnchor>
  <xdr:twoCellAnchor>
    <xdr:from>
      <xdr:col>6</xdr:col>
      <xdr:colOff>0</xdr:colOff>
      <xdr:row>19</xdr:row>
      <xdr:rowOff>0</xdr:rowOff>
    </xdr:from>
    <xdr:to>
      <xdr:col>14</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ce06a4f726488b"/>
        </a:graphicData>
      </a:graphic>
    </xdr:graphicFrame>
    <xdr:clientData/>
  </xdr:twoCellAnchor>
  <xdr:twoCellAnchor>
    <xdr:from>
      <xdr:col>0</xdr:col>
      <xdr:colOff>0</xdr:colOff>
      <xdr:row>19</xdr:row>
      <xdr:rowOff>0</xdr:rowOff>
    </xdr:from>
    <xdr:to>
      <xdr:col>6</xdr:col>
      <xdr:colOff>0</xdr:colOff>
      <xdr:row>30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c57e39782245d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drawing" Target="/xl/drawings/drawing1.xml" Id="R87996dbabef24bc2"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 hidden="0" customWidth="1"/>
    <x:col min="2" max="2" width="106" hidden="0" customWidth="1"/>
  </x:cols>
  <x:sheetData>
    <x:row r="1" ht="30" customHeight="1">
      <x:c r="A1" s="5" t="str">
        <x:v>Item</x:v>
      </x:c>
      <x:c r="B1" s="5" t="str">
        <x:v>Detail</x:v>
      </x:c>
    </x:row>
    <x:row r="2" ht="24" customHeight="1">
      <x:c r="A2" t="str">
        <x:v>Study title</x:v>
      </x:c>
      <x:c r="B2" t="str">
        <x:v>Design and Synthetic Evaluation of a Clinician-Supervised EHR/FHIR Workflow for Early Pediatric Vision Risk Support</x:v>
      </x:c>
    </x:row>
    <x:row r="3" ht="24" customHeight="1">
      <x:c r="A3" t="str">
        <x:v>Document</x:v>
      </x:c>
      <x:c r="B3" t="str">
        <x:v>Synthetic Evaluation Plan v1.0 — PRE-REGISTRATION DRAFT</x:v>
      </x:c>
    </x:row>
    <x:row r="4" ht="24" customHeight="1">
      <x:c r="A4" t="str">
        <x:v>Frozen comparison baseline</x:v>
      </x:c>
      <x:c r="B4" t="str">
        <x:v>GitHub v0.1 tag; commit 0c30d7c</x:v>
      </x:c>
    </x:row>
    <x:row r="5" ht="24" customHeight="1">
      <x:c r="A5" t="str">
        <x:v>Cohort</x:v>
      </x:c>
      <x:c r="B5" t="str">
        <x:v>150 synthetic cases, ages 0–71 months; planned under-3 analysis</x:v>
      </x:c>
    </x:row>
    <x:row r="6" ht="24" customHeight="1">
      <x:c r="A6" t="str">
        <x:v>Design</x:v>
      </x:c>
      <x:c r="B6" t="str">
        <x:v>Preclinical in-silico technical workflow and safety evaluation</x:v>
      </x:c>
    </x:row>
    <x:row r="7" ht="24" customHeight="1">
      <x:c r="A7" t="str">
        <x:v>NOT evaluated</x:v>
      </x:c>
      <x:c r="B7" t="str">
        <x:v>Disease prevalence, diagnostic accuracy, clinical sensitivity/specificity, real patient outcomes</x:v>
      </x:c>
    </x:row>
    <x:row r="8" ht="24" customHeight="1">
      <x:c r="A8" t="str">
        <x:v>Clinical variable status</x:v>
      </x:c>
      <x:c r="B8" t="str">
        <x:v>Terminology and risk/referral logic pending clinical review; do not use planned clinical classes as ground truth</x:v>
      </x:c>
    </x:row>
    <x:row r="9" ht="24" customHeight="1">
      <x:c r="A9" t="str">
        <x:v>Case oracle</x:v>
      </x:c>
      <x:c r="B9" t="str">
        <x:v>Pre-specified engineering expectation, independently reviewed before running tests</x:v>
      </x:c>
    </x:row>
    <x:row r="10" ht="24" customHeight="1">
      <x:c r="A10" t="str">
        <x:v>Protocol linkage</x:v>
      </x:c>
      <x:c r="B10" t="str">
        <x:v>Pediatric_Vision_AI_Research_Protocol_v1.0.pdf</x:v>
      </x:c>
    </x:row>
    <x:row r="11" ht="24" customHeight="1">
      <x:c r="A11" t="str">
        <x:v>Evidence linkage</x:v>
      </x:c>
      <x:c r="B11" t="str">
        <x:v>Pediatric_Vision_AI_Clinical_Evidence_Matrix_v1.0.xlsx</x:v>
      </x:c>
    </x:row>
    <x:row r="12" ht="24" customHeight="1">
      <x:c r="A12" t="str">
        <x:v>Dictionary linkage</x:v>
      </x:c>
      <x:c r="B12" t="str">
        <x:v>Pediatric_Vision_AI_Data_Dictionary_FHIR_R4_Mapping_v1.0.xlsx</x:v>
      </x:c>
    </x:row>
    <x:row r="13" ht="24" customHeight="1">
      <x:c r="A13" t="str">
        <x:v>Terminology review</x:v>
      </x:c>
      <x:c r="B13" t="str">
        <x:v>Pediatric_Vision_AI_FHIR_R4_Terminology_Review_v1.0.xlsx</x:v>
      </x:c>
    </x:row>
    <x:row r="14" ht="24" customHeight="1">
      <x:c r="A14" t="str">
        <x:v>Status</x:v>
      </x:c>
      <x:c r="B14" t="str">
        <x:v>Draft — requires protocol/terminology review and baseline implementation reconciliation</x:v>
      </x:c>
    </x:row>
    <x:row r="15" ht="24" customHeight="1">
      <x:c r="A15" t="str">
        <x:v>How to use</x:v>
      </x:c>
      <x:c r="B15" t="str">
        <x:v>Read Plan and Metrics → review 150 Case Manifest → confirm oracle → execute v0.1 → complete Actual Results</x:v>
      </x:c>
    </x:row>
    <x:row r="16" ht="24" customHeight="1">
      <x:c r="A16" t="str">
        <x:v>Privacy</x:v>
      </x:c>
      <x:c r="B16" t="str">
        <x:v>Entire cohort synthetic; never upload real pediatric records to public GitHub</x:v>
      </x:c>
    </x:row>
    <x:row r="17" ht="24" customHeight="1">
      <x:c r="A17" t="str">
        <x:v>Clinical decision governance</x:v>
      </x:c>
      <x:c r="B17" t="str">
        <x:v>Clinician approval of risk and referral thresholds is mandatory before clinical rule assertions are locked</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6" hidden="0" customWidth="1"/>
    <x:col min="3" max="3" width="100" hidden="0" customWidth="1"/>
  </x:cols>
  <x:sheetData>
    <x:row r="1" ht="30" customHeight="1">
      <x:c r="A1" s="5" t="str">
        <x:v>Scenario stratum</x:v>
      </x:c>
      <x:c r="B1" s="5" t="str">
        <x:v>Planned count</x:v>
      </x:c>
      <x:c r="C1" s="5" t="str">
        <x:v>Scope</x:v>
      </x:c>
    </x:row>
    <x:row r="2" ht="24" customHeight="1">
      <x:c r="A2" t="str">
        <x:v>Routine completeness</x:v>
      </x:c>
      <x:c r="B2" t="n">
        <x:v>40</x:v>
      </x:c>
      <x:c r="C2" t="str">
        <x:v>Complete coherent history; valid FHIR; no clinical outcome assumption</x:v>
      </x:c>
    </x:row>
    <x:row r="3" ht="24" customHeight="1">
      <x:c r="A3" t="str">
        <x:v>Elevated concern (reported)</x:v>
      </x:c>
      <x:c r="B3" t="n">
        <x:v>30</x:v>
      </x:c>
      <x:c r="C3" t="str">
        <x:v>Reported risk/concern signals; only test source attribution and no autonomous diagnosis</x:v>
      </x:c>
    </x:row>
    <x:row r="4" ht="24" customHeight="1">
      <x:c r="A4" t="str">
        <x:v>Missing information</x:v>
      </x:c>
      <x:c r="B4" t="n">
        <x:v>30</x:v>
      </x:c>
      <x:c r="C4" t="str">
        <x:v>Missing relevant optional or required fields; expected data-quality/abstention pathway conditional on data type</x:v>
      </x:c>
    </x:row>
    <x:row r="5" ht="24" customHeight="1">
      <x:c r="A5" t="str">
        <x:v>Conflicting information</x:v>
      </x:c>
      <x:c r="B5" t="n">
        <x:v>25</x:v>
      </x:c>
      <x:c r="C5" t="str">
        <x:v>Contradictory observations/source; require review and traceable conflict flag</x:v>
      </x:c>
    </x:row>
    <x:row r="6" ht="24" customHeight="1">
      <x:c r="A6" t="str">
        <x:v>Safety edge cases</x:v>
      </x:c>
      <x:c r="B6" t="n">
        <x:v>25</x:v>
      </x:c>
      <x:c r="C6" t="str">
        <x:v>Invalid values, duplicates, referral authority, provenance, malformed FHIR</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95" hidden="0" customWidth="1"/>
    <x:col min="3" max="3" width="86" hidden="0" customWidth="1"/>
  </x:cols>
  <x:sheetData>
    <x:row r="1" ht="30" customHeight="1">
      <x:c r="A1" s="5" t="str">
        <x:v>Topic</x:v>
      </x:c>
      <x:c r="B1" s="5" t="str">
        <x:v>Specification</x:v>
      </x:c>
      <x:c r="C1" s="5" t="str">
        <x:v>Important boundary</x:v>
      </x:c>
    </x:row>
    <x:row r="2" ht="24" customHeight="1">
      <x:c r="A2" t="str">
        <x:v>Design</x:v>
      </x:c>
      <x:c r="B2" t="str">
        <x:v>Controlled scenario-based technical feasibility; all cases synthetic</x:v>
      </x:c>
      <x:c r="C2" t="str">
        <x:v>No real clinical outcomes</x:v>
      </x:c>
    </x:row>
    <x:row r="3" ht="24" customHeight="1">
      <x:c r="A3" t="str">
        <x:v>Primary outcome 1</x:v>
      </x:c>
      <x:c r="B3" t="str">
        <x:v>Conformance to prespecified technical oracle</x:v>
      </x:c>
      <x:c r="C3" t="str">
        <x:v>Numerator: matched cases; denominator: eligible executed cases</x:v>
      </x:c>
    </x:row>
    <x:row r="4" ht="24" customHeight="1">
      <x:c r="A4" t="str">
        <x:v>Primary outcome 2</x:v>
      </x:c>
      <x:c r="B4" t="str">
        <x:v>Appropriate abstention / hold for explicitly insufficient or conflicting data</x:v>
      </x:c>
      <x:c r="C4" t="str">
        <x:v>Only for scenarios with approved deterministic expectation</x:v>
      </x:c>
    </x:row>
    <x:row r="5" ht="24" customHeight="1">
      <x:c r="A5" t="str">
        <x:v>Primary outcome 3</x:v>
      </x:c>
      <x:c r="B5" t="str">
        <x:v>Traceability of outputs to input and rule version</x:v>
      </x:c>
      <x:c r="C5" t="str">
        <x:v>Evaluate input references, rule ID, timestamps, actor attribution</x:v>
      </x:c>
    </x:row>
    <x:row r="6" ht="24" customHeight="1">
      <x:c r="A6" t="str">
        <x:v>Secondary outcome 1</x:v>
      </x:c>
      <x:c r="B6" t="str">
        <x:v>FHIR R4 structural validity</x:v>
      </x:c>
      <x:c r="C6" t="str">
        <x:v>Validator execution with version/profile recorded</x:v>
      </x:c>
    </x:row>
    <x:row r="7" ht="24" customHeight="1">
      <x:c r="A7" t="str">
        <x:v>Secondary outcome 2</x:v>
      </x:c>
      <x:c r="B7" t="str">
        <x:v>Completeness of audit events</x:v>
      </x:c>
      <x:c r="C7" t="str">
        <x:v>Expected event fields defined per case</x:v>
      </x:c>
    </x:row>
    <x:row r="8" ht="24" customHeight="1">
      <x:c r="A8" t="str">
        <x:v>Secondary outcome 3</x:v>
      </x:c>
      <x:c r="B8" t="str">
        <x:v>Consistency across age bands</x:v>
      </x:c>
      <x:c r="C8" t="str">
        <x:v>Engineering behavior only; exploratory and not clinical fairness claim</x:v>
      </x:c>
    </x:row>
    <x:row r="9" ht="24" customHeight="1">
      <x:c r="A9" t="str">
        <x:v>Reference oracle</x:v>
      </x:c>
      <x:c r="B9" t="str">
        <x:v>Written expected behavior before tests; no actual observed response may be used to redefine expected behavior</x:v>
      </x:c>
      <x:c r="C9" t="str">
        <x:v>Oracle reviewer and version recorded</x:v>
      </x:c>
    </x:row>
    <x:row r="10" ht="24" customHeight="1">
      <x:c r="A10" t="str">
        <x:v>Age subgroup</x:v>
      </x:c>
      <x:c r="B10" t="str">
        <x:v>0–35 months (under 3), 36–71 months</x:v>
      </x:c>
      <x:c r="C10" t="str">
        <x:v>Six detailed bands in Case Manifest</x:v>
      </x:c>
    </x:row>
    <x:row r="11" ht="24" customHeight="1">
      <x:c r="A11" t="str">
        <x:v>Sampling</x:v>
      </x:c>
      <x:c r="B11" t="str">
        <x:v>Quota by scenario class, not population prevalence</x:v>
      </x:c>
      <x:c r="C11" t="str">
        <x:v>No inference to real-world risk distribution</x:v>
      </x:c>
    </x:row>
    <x:row r="12" ht="24" customHeight="1">
      <x:c r="A12" t="str">
        <x:v>Exclusion</x:v>
      </x:c>
      <x:c r="B12" t="str">
        <x:v>Invalid age outside 0–71 months excluded from main cohort; may be separate negative tests</x:v>
      </x:c>
      <x:c r="C12" t="str">
        <x:v>Do not silently drop invalid fields within included cases</x:v>
      </x:c>
    </x:row>
    <x:row r="13" ht="24" customHeight="1">
      <x:c r="A13" t="str">
        <x:v>Analysis</x:v>
      </x:c>
      <x:c r="B13" t="str">
        <x:v>Report counts/denominators and reasons for excluded/not-run cases</x:v>
      </x:c>
      <x:c r="C13" t="str">
        <x:v>No inferential clinical effect sizes</x:v>
      </x:c>
    </x:row>
    <x:row r="14" ht="24" customHeight="1">
      <x:c r="A14" t="str">
        <x:v>Version policy</x:v>
      </x:c>
      <x:c r="B14" t="str">
        <x:v>Never move tag v0.1; commit all evaluations to main or dedicated branch</x:v>
      </x:c>
      <x:c r="C14" t="str">
        <x:v>Record exact run commit, environment, dependencies</x:v>
      </x:c>
    </x:row>
    <x:row r="15" ht="24" customHeight="1">
      <x:c r="A15" t="str">
        <x:v>Unresolved gate</x:v>
      </x:c>
      <x:c r="B15" t="str">
        <x:v>Clinical terminology, risk labels, and referral thresholds not approved</x:v>
      </x:c>
      <x:c r="C15" t="str">
        <x:v>Block clinical classification assertions</x:v>
      </x:c>
    </x:row>
    <x:row r="16" ht="24" customHeight="1">
      <x:c r="A16" t="str">
        <x:v>Proceed gate</x:v>
      </x:c>
      <x:c r="B16" t="str">
        <x:v>Engineering QA scenarios may proceed if test oracle, code behavior, and FHIR profiles are reconciled</x:v>
      </x:c>
      <x:c r="C16" t="str">
        <x:v>No use with real patients</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9" hidden="0" customWidth="1"/>
    <x:col min="3" max="3" width="34" hidden="0" customWidth="1"/>
    <x:col min="4" max="4" width="16" hidden="0" customWidth="1"/>
    <x:col min="5" max="5" width="14" hidden="0" customWidth="1"/>
    <x:col min="6" max="6" width="15" hidden="0" customWidth="1"/>
    <x:col min="7" max="7" width="18" hidden="0" customWidth="1"/>
    <x:col min="8" max="8" width="16" hidden="0" customWidth="1"/>
    <x:col min="9" max="9" width="71" hidden="0" customWidth="1"/>
    <x:col min="10" max="10" width="31" hidden="0" customWidth="1"/>
    <x:col min="11" max="11" width="17" hidden="0" customWidth="1"/>
    <x:col min="12" max="12" width="44" hidden="0" customWidth="1"/>
    <x:col min="13" max="13" width="21" hidden="0" customWidth="1"/>
    <x:col min="14" max="14" width="62" hidden="0" customWidth="1"/>
  </x:cols>
  <x:sheetData>
    <x:row r="1" ht="30" customHeight="1">
      <x:c r="A1" s="5" t="str">
        <x:v>Case ID</x:v>
      </x:c>
      <x:c r="B1" s="5" t="str">
        <x:v>Scenario stratum</x:v>
      </x:c>
      <x:c r="C1" s="5" t="str">
        <x:v>Variant</x:v>
      </x:c>
      <x:c r="D1" s="5" t="str">
        <x:v>Age months</x:v>
      </x:c>
      <x:c r="E1" s="5" t="str">
        <x:v>Age band</x:v>
      </x:c>
      <x:c r="F1" s="5" t="str">
        <x:v>Age subgroup</x:v>
      </x:c>
      <x:c r="G1" s="5" t="str">
        <x:v>Missingness flag</x:v>
      </x:c>
      <x:c r="H1" s="5" t="str">
        <x:v>Conflict flag</x:v>
      </x:c>
      <x:c r="I1" s="5" t="str">
        <x:v>Prespecified technical expectation</x:v>
      </x:c>
      <x:c r="J1" s="5" t="str">
        <x:v>Oracle approval gate</x:v>
      </x:c>
      <x:c r="K1" s="5" t="str">
        <x:v>Execution</x:v>
      </x:c>
      <x:c r="L1" s="5" t="str">
        <x:v>Observed behavior</x:v>
      </x:c>
      <x:c r="M1" s="5" t="str">
        <x:v>Pass / Fail / Blocked</x:v>
      </x:c>
      <x:c r="N1" s="5" t="str">
        <x:v>Notes / fixture path</x:v>
      </x:c>
    </x:row>
    <x:row r="2" ht="24" customHeight="1">
      <x:c r="A2" t="str">
        <x:v>SYN-0001</x:v>
      </x:c>
      <x:c r="B2" t="str">
        <x:v>Routine completeness</x:v>
      </x:c>
      <x:c r="C2" t="str">
        <x:v>Complete coherent inputs</x:v>
      </x:c>
      <x:c r="D2" t="n">
        <x:v>1</x:v>
      </x:c>
      <x:c r="E2" t="str">
        <x:v>0–2</x:v>
      </x:c>
      <x:c r="F2" t="str">
        <x:v>Under 3</x:v>
      </x:c>
      <x:c r="G2" t="str">
        <x:v>no</x:v>
      </x:c>
      <x:c r="H2" t="str">
        <x:v>no</x:v>
      </x:c>
      <x:c r="I2" t="str">
        <x:v>FHIR parse + trace + no autonomous diagnosis</x:v>
      </x:c>
      <x:c r="J2" t="str">
        <x:v>ENGINEERING</x:v>
      </x:c>
      <x:c r="K2" t="str">
        <x:v>Not run</x:v>
      </x:c>
      <x:c r="L2" t="str"/>
      <x:c r="M2" t="str"/>
      <x:c r="N2" t="str">
        <x:v>Synthetic case blueprint; materialize using fixed-seed generator</x:v>
      </x:c>
    </x:row>
    <x:row r="3" ht="24" customHeight="1">
      <x:c r="A3" t="str">
        <x:v>SYN-0002</x:v>
      </x:c>
      <x:c r="B3" t="str">
        <x:v>Routine completeness</x:v>
      </x:c>
      <x:c r="C3" t="str">
        <x:v>Complete coherent inputs</x:v>
      </x:c>
      <x:c r="D3" t="n">
        <x:v>5</x:v>
      </x:c>
      <x:c r="E3" t="str">
        <x:v>3–11</x:v>
      </x:c>
      <x:c r="F3" t="str">
        <x:v>Under 3</x:v>
      </x:c>
      <x:c r="G3" t="str">
        <x:v>no</x:v>
      </x:c>
      <x:c r="H3" t="str">
        <x:v>no</x:v>
      </x:c>
      <x:c r="I3" t="str">
        <x:v>FHIR parse + trace + no autonomous diagnosis</x:v>
      </x:c>
      <x:c r="J3" t="str">
        <x:v>ENGINEERING</x:v>
      </x:c>
      <x:c r="K3" t="str">
        <x:v>Not run</x:v>
      </x:c>
      <x:c r="L3" t="str"/>
      <x:c r="M3" t="str"/>
      <x:c r="N3" t="str">
        <x:v>Synthetic case blueprint; materialize using fixed-seed generator</x:v>
      </x:c>
    </x:row>
    <x:row r="4" ht="24" customHeight="1">
      <x:c r="A4" t="str">
        <x:v>SYN-0003</x:v>
      </x:c>
      <x:c r="B4" t="str">
        <x:v>Routine completeness</x:v>
      </x:c>
      <x:c r="C4" t="str">
        <x:v>Complete coherent inputs</x:v>
      </x:c>
      <x:c r="D4" t="n">
        <x:v>17</x:v>
      </x:c>
      <x:c r="E4" t="str">
        <x:v>12–35</x:v>
      </x:c>
      <x:c r="F4" t="str">
        <x:v>Under 3</x:v>
      </x:c>
      <x:c r="G4" t="str">
        <x:v>no</x:v>
      </x:c>
      <x:c r="H4" t="str">
        <x:v>no</x:v>
      </x:c>
      <x:c r="I4" t="str">
        <x:v>FHIR parse + trace + no autonomous diagnosis</x:v>
      </x:c>
      <x:c r="J4" t="str">
        <x:v>ENGINEERING</x:v>
      </x:c>
      <x:c r="K4" t="str">
        <x:v>Not run</x:v>
      </x:c>
      <x:c r="L4" t="str"/>
      <x:c r="M4" t="str"/>
      <x:c r="N4" t="str">
        <x:v>Synthetic case blueprint; materialize using fixed-seed generator</x:v>
      </x:c>
    </x:row>
    <x:row r="5" ht="24" customHeight="1">
      <x:c r="A5" t="str">
        <x:v>SYN-0004</x:v>
      </x:c>
      <x:c r="B5" t="str">
        <x:v>Routine completeness</x:v>
      </x:c>
      <x:c r="C5" t="str">
        <x:v>Complete coherent inputs</x:v>
      </x:c>
      <x:c r="D5" t="n">
        <x:v>30</x:v>
      </x:c>
      <x:c r="E5" t="str">
        <x:v>12–35</x:v>
      </x:c>
      <x:c r="F5" t="str">
        <x:v>Under 3</x:v>
      </x:c>
      <x:c r="G5" t="str">
        <x:v>no</x:v>
      </x:c>
      <x:c r="H5" t="str">
        <x:v>no</x:v>
      </x:c>
      <x:c r="I5" t="str">
        <x:v>FHIR parse + trace + no autonomous diagnosis</x:v>
      </x:c>
      <x:c r="J5" t="str">
        <x:v>ENGINEERING</x:v>
      </x:c>
      <x:c r="K5" t="str">
        <x:v>Not run</x:v>
      </x:c>
      <x:c r="L5" t="str"/>
      <x:c r="M5" t="str"/>
      <x:c r="N5" t="str">
        <x:v>Synthetic case blueprint; materialize using fixed-seed generator</x:v>
      </x:c>
    </x:row>
    <x:row r="6" ht="24" customHeight="1">
      <x:c r="A6" t="str">
        <x:v>SYN-0005</x:v>
      </x:c>
      <x:c r="B6" t="str">
        <x:v>Routine completeness</x:v>
      </x:c>
      <x:c r="C6" t="str">
        <x:v>Complete coherent inputs</x:v>
      </x:c>
      <x:c r="D6" t="n">
        <x:v>40</x:v>
      </x:c>
      <x:c r="E6" t="str">
        <x:v>36–47</x:v>
      </x:c>
      <x:c r="F6" t="str">
        <x:v>3–5</x:v>
      </x:c>
      <x:c r="G6" t="str">
        <x:v>no</x:v>
      </x:c>
      <x:c r="H6" t="str">
        <x:v>no</x:v>
      </x:c>
      <x:c r="I6" t="str">
        <x:v>FHIR parse + trace + no autonomous diagnosis</x:v>
      </x:c>
      <x:c r="J6" t="str">
        <x:v>ENGINEERING</x:v>
      </x:c>
      <x:c r="K6" t="str">
        <x:v>Not run</x:v>
      </x:c>
      <x:c r="L6" t="str"/>
      <x:c r="M6" t="str"/>
      <x:c r="N6" t="str">
        <x:v>Synthetic case blueprint; materialize using fixed-seed generator</x:v>
      </x:c>
    </x:row>
    <x:row r="7" ht="24" customHeight="1">
      <x:c r="A7" t="str">
        <x:v>SYN-0006</x:v>
      </x:c>
      <x:c r="B7" t="str">
        <x:v>Routine completeness</x:v>
      </x:c>
      <x:c r="C7" t="str">
        <x:v>Complete coherent inputs</x:v>
      </x:c>
      <x:c r="D7" t="n">
        <x:v>54</x:v>
      </x:c>
      <x:c r="E7" t="str">
        <x:v>48–59</x:v>
      </x:c>
      <x:c r="F7" t="str">
        <x:v>3–5</x:v>
      </x:c>
      <x:c r="G7" t="str">
        <x:v>no</x:v>
      </x:c>
      <x:c r="H7" t="str">
        <x:v>no</x:v>
      </x:c>
      <x:c r="I7" t="str">
        <x:v>FHIR parse + trace + no autonomous diagnosis</x:v>
      </x:c>
      <x:c r="J7" t="str">
        <x:v>ENGINEERING</x:v>
      </x:c>
      <x:c r="K7" t="str">
        <x:v>Not run</x:v>
      </x:c>
      <x:c r="L7" t="str"/>
      <x:c r="M7" t="str"/>
      <x:c r="N7" t="str">
        <x:v>Synthetic case blueprint; materialize using fixed-seed generator</x:v>
      </x:c>
    </x:row>
    <x:row r="8" ht="24" customHeight="1">
      <x:c r="A8" t="str">
        <x:v>SYN-0007</x:v>
      </x:c>
      <x:c r="B8" t="str">
        <x:v>Routine completeness</x:v>
      </x:c>
      <x:c r="C8" t="str">
        <x:v>Complete coherent inputs</x:v>
      </x:c>
      <x:c r="D8" t="n">
        <x:v>66</x:v>
      </x:c>
      <x:c r="E8" t="str">
        <x:v>60–71</x:v>
      </x:c>
      <x:c r="F8" t="str">
        <x:v>3–5</x:v>
      </x:c>
      <x:c r="G8" t="str">
        <x:v>no</x:v>
      </x:c>
      <x:c r="H8" t="str">
        <x:v>no</x:v>
      </x:c>
      <x:c r="I8" t="str">
        <x:v>FHIR parse + trace + no autonomous diagnosis</x:v>
      </x:c>
      <x:c r="J8" t="str">
        <x:v>ENGINEERING</x:v>
      </x:c>
      <x:c r="K8" t="str">
        <x:v>Not run</x:v>
      </x:c>
      <x:c r="L8" t="str"/>
      <x:c r="M8" t="str"/>
      <x:c r="N8" t="str">
        <x:v>Synthetic case blueprint; materialize using fixed-seed generator</x:v>
      </x:c>
    </x:row>
    <x:row r="9" ht="24" customHeight="1">
      <x:c r="A9" t="str">
        <x:v>SYN-0008</x:v>
      </x:c>
      <x:c r="B9" t="str">
        <x:v>Routine completeness</x:v>
      </x:c>
      <x:c r="C9" t="str">
        <x:v>Complete coherent inputs</x:v>
      </x:c>
      <x:c r="D9" t="n">
        <x:v>1</x:v>
      </x:c>
      <x:c r="E9" t="str">
        <x:v>0–2</x:v>
      </x:c>
      <x:c r="F9" t="str">
        <x:v>Under 3</x:v>
      </x:c>
      <x:c r="G9" t="str">
        <x:v>no</x:v>
      </x:c>
      <x:c r="H9" t="str">
        <x:v>no</x:v>
      </x:c>
      <x:c r="I9" t="str">
        <x:v>FHIR parse + trace + no autonomous diagnosis</x:v>
      </x:c>
      <x:c r="J9" t="str">
        <x:v>ENGINEERING</x:v>
      </x:c>
      <x:c r="K9" t="str">
        <x:v>Not run</x:v>
      </x:c>
      <x:c r="L9" t="str"/>
      <x:c r="M9" t="str"/>
      <x:c r="N9" t="str">
        <x:v>Synthetic case blueprint; materialize using fixed-seed generator</x:v>
      </x:c>
    </x:row>
    <x:row r="10" ht="24" customHeight="1">
      <x:c r="A10" t="str">
        <x:v>SYN-0009</x:v>
      </x:c>
      <x:c r="B10" t="str">
        <x:v>Routine completeness</x:v>
      </x:c>
      <x:c r="C10" t="str">
        <x:v>Complete coherent inputs</x:v>
      </x:c>
      <x:c r="D10" t="n">
        <x:v>5</x:v>
      </x:c>
      <x:c r="E10" t="str">
        <x:v>3–11</x:v>
      </x:c>
      <x:c r="F10" t="str">
        <x:v>Under 3</x:v>
      </x:c>
      <x:c r="G10" t="str">
        <x:v>no</x:v>
      </x:c>
      <x:c r="H10" t="str">
        <x:v>no</x:v>
      </x:c>
      <x:c r="I10" t="str">
        <x:v>FHIR parse + trace + no autonomous diagnosis</x:v>
      </x:c>
      <x:c r="J10" t="str">
        <x:v>ENGINEERING</x:v>
      </x:c>
      <x:c r="K10" t="str">
        <x:v>Not run</x:v>
      </x:c>
      <x:c r="L10" t="str"/>
      <x:c r="M10" t="str"/>
      <x:c r="N10" t="str">
        <x:v>Synthetic case blueprint; materialize using fixed-seed generator</x:v>
      </x:c>
    </x:row>
    <x:row r="11" ht="24" customHeight="1">
      <x:c r="A11" t="str">
        <x:v>SYN-0010</x:v>
      </x:c>
      <x:c r="B11" t="str">
        <x:v>Routine completeness</x:v>
      </x:c>
      <x:c r="C11" t="str">
        <x:v>Complete coherent inputs</x:v>
      </x:c>
      <x:c r="D11" t="n">
        <x:v>17</x:v>
      </x:c>
      <x:c r="E11" t="str">
        <x:v>12–35</x:v>
      </x:c>
      <x:c r="F11" t="str">
        <x:v>Under 3</x:v>
      </x:c>
      <x:c r="G11" t="str">
        <x:v>no</x:v>
      </x:c>
      <x:c r="H11" t="str">
        <x:v>no</x:v>
      </x:c>
      <x:c r="I11" t="str">
        <x:v>FHIR parse + trace + no autonomous diagnosis</x:v>
      </x:c>
      <x:c r="J11" t="str">
        <x:v>ENGINEERING</x:v>
      </x:c>
      <x:c r="K11" t="str">
        <x:v>Not run</x:v>
      </x:c>
      <x:c r="L11" t="str"/>
      <x:c r="M11" t="str"/>
      <x:c r="N11" t="str">
        <x:v>Synthetic case blueprint; materialize using fixed-seed generator</x:v>
      </x:c>
    </x:row>
    <x:row r="12" ht="24" customHeight="1">
      <x:c r="A12" t="str">
        <x:v>SYN-0011</x:v>
      </x:c>
      <x:c r="B12" t="str">
        <x:v>Routine completeness</x:v>
      </x:c>
      <x:c r="C12" t="str">
        <x:v>Complete coherent inputs</x:v>
      </x:c>
      <x:c r="D12" t="n">
        <x:v>30</x:v>
      </x:c>
      <x:c r="E12" t="str">
        <x:v>12–35</x:v>
      </x:c>
      <x:c r="F12" t="str">
        <x:v>Under 3</x:v>
      </x:c>
      <x:c r="G12" t="str">
        <x:v>no</x:v>
      </x:c>
      <x:c r="H12" t="str">
        <x:v>no</x:v>
      </x:c>
      <x:c r="I12" t="str">
        <x:v>FHIR parse + trace + no autonomous diagnosis</x:v>
      </x:c>
      <x:c r="J12" t="str">
        <x:v>ENGINEERING</x:v>
      </x:c>
      <x:c r="K12" t="str">
        <x:v>Not run</x:v>
      </x:c>
      <x:c r="L12" t="str"/>
      <x:c r="M12" t="str"/>
      <x:c r="N12" t="str">
        <x:v>Synthetic case blueprint; materialize using fixed-seed generator</x:v>
      </x:c>
    </x:row>
    <x:row r="13" ht="24" customHeight="1">
      <x:c r="A13" t="str">
        <x:v>SYN-0012</x:v>
      </x:c>
      <x:c r="B13" t="str">
        <x:v>Routine completeness</x:v>
      </x:c>
      <x:c r="C13" t="str">
        <x:v>Complete coherent inputs</x:v>
      </x:c>
      <x:c r="D13" t="n">
        <x:v>40</x:v>
      </x:c>
      <x:c r="E13" t="str">
        <x:v>36–47</x:v>
      </x:c>
      <x:c r="F13" t="str">
        <x:v>3–5</x:v>
      </x:c>
      <x:c r="G13" t="str">
        <x:v>no</x:v>
      </x:c>
      <x:c r="H13" t="str">
        <x:v>no</x:v>
      </x:c>
      <x:c r="I13" t="str">
        <x:v>FHIR parse + trace + no autonomous diagnosis</x:v>
      </x:c>
      <x:c r="J13" t="str">
        <x:v>ENGINEERING</x:v>
      </x:c>
      <x:c r="K13" t="str">
        <x:v>Not run</x:v>
      </x:c>
      <x:c r="L13" t="str"/>
      <x:c r="M13" t="str"/>
      <x:c r="N13" t="str">
        <x:v>Synthetic case blueprint; materialize using fixed-seed generator</x:v>
      </x:c>
    </x:row>
    <x:row r="14" ht="24" customHeight="1">
      <x:c r="A14" t="str">
        <x:v>SYN-0013</x:v>
      </x:c>
      <x:c r="B14" t="str">
        <x:v>Routine completeness</x:v>
      </x:c>
      <x:c r="C14" t="str">
        <x:v>Complete coherent inputs</x:v>
      </x:c>
      <x:c r="D14" t="n">
        <x:v>54</x:v>
      </x:c>
      <x:c r="E14" t="str">
        <x:v>48–59</x:v>
      </x:c>
      <x:c r="F14" t="str">
        <x:v>3–5</x:v>
      </x:c>
      <x:c r="G14" t="str">
        <x:v>no</x:v>
      </x:c>
      <x:c r="H14" t="str">
        <x:v>no</x:v>
      </x:c>
      <x:c r="I14" t="str">
        <x:v>FHIR parse + trace + no autonomous diagnosis</x:v>
      </x:c>
      <x:c r="J14" t="str">
        <x:v>ENGINEERING</x:v>
      </x:c>
      <x:c r="K14" t="str">
        <x:v>Not run</x:v>
      </x:c>
      <x:c r="L14" t="str"/>
      <x:c r="M14" t="str"/>
      <x:c r="N14" t="str">
        <x:v>Synthetic case blueprint; materialize using fixed-seed generator</x:v>
      </x:c>
    </x:row>
    <x:row r="15" ht="24" customHeight="1">
      <x:c r="A15" t="str">
        <x:v>SYN-0014</x:v>
      </x:c>
      <x:c r="B15" t="str">
        <x:v>Routine completeness</x:v>
      </x:c>
      <x:c r="C15" t="str">
        <x:v>Complete coherent inputs</x:v>
      </x:c>
      <x:c r="D15" t="n">
        <x:v>66</x:v>
      </x:c>
      <x:c r="E15" t="str">
        <x:v>60–71</x:v>
      </x:c>
      <x:c r="F15" t="str">
        <x:v>3–5</x:v>
      </x:c>
      <x:c r="G15" t="str">
        <x:v>no</x:v>
      </x:c>
      <x:c r="H15" t="str">
        <x:v>no</x:v>
      </x:c>
      <x:c r="I15" t="str">
        <x:v>FHIR parse + trace + no autonomous diagnosis</x:v>
      </x:c>
      <x:c r="J15" t="str">
        <x:v>ENGINEERING</x:v>
      </x:c>
      <x:c r="K15" t="str">
        <x:v>Not run</x:v>
      </x:c>
      <x:c r="L15" t="str"/>
      <x:c r="M15" t="str"/>
      <x:c r="N15" t="str">
        <x:v>Synthetic case blueprint; materialize using fixed-seed generator</x:v>
      </x:c>
    </x:row>
    <x:row r="16" ht="24" customHeight="1">
      <x:c r="A16" t="str">
        <x:v>SYN-0015</x:v>
      </x:c>
      <x:c r="B16" t="str">
        <x:v>Routine completeness</x:v>
      </x:c>
      <x:c r="C16" t="str">
        <x:v>Complete coherent inputs</x:v>
      </x:c>
      <x:c r="D16" t="n">
        <x:v>1</x:v>
      </x:c>
      <x:c r="E16" t="str">
        <x:v>0–2</x:v>
      </x:c>
      <x:c r="F16" t="str">
        <x:v>Under 3</x:v>
      </x:c>
      <x:c r="G16" t="str">
        <x:v>no</x:v>
      </x:c>
      <x:c r="H16" t="str">
        <x:v>no</x:v>
      </x:c>
      <x:c r="I16" t="str">
        <x:v>FHIR parse + trace + no autonomous diagnosis</x:v>
      </x:c>
      <x:c r="J16" t="str">
        <x:v>ENGINEERING</x:v>
      </x:c>
      <x:c r="K16" t="str">
        <x:v>Not run</x:v>
      </x:c>
      <x:c r="L16" t="str"/>
      <x:c r="M16" t="str"/>
      <x:c r="N16" t="str">
        <x:v>Synthetic case blueprint; materialize using fixed-seed generator</x:v>
      </x:c>
    </x:row>
    <x:row r="17" ht="24" customHeight="1">
      <x:c r="A17" t="str">
        <x:v>SYN-0016</x:v>
      </x:c>
      <x:c r="B17" t="str">
        <x:v>Routine completeness</x:v>
      </x:c>
      <x:c r="C17" t="str">
        <x:v>Complete coherent inputs</x:v>
      </x:c>
      <x:c r="D17" t="n">
        <x:v>5</x:v>
      </x:c>
      <x:c r="E17" t="str">
        <x:v>3–11</x:v>
      </x:c>
      <x:c r="F17" t="str">
        <x:v>Under 3</x:v>
      </x:c>
      <x:c r="G17" t="str">
        <x:v>no</x:v>
      </x:c>
      <x:c r="H17" t="str">
        <x:v>no</x:v>
      </x:c>
      <x:c r="I17" t="str">
        <x:v>FHIR parse + trace + no autonomous diagnosis</x:v>
      </x:c>
      <x:c r="J17" t="str">
        <x:v>ENGINEERING</x:v>
      </x:c>
      <x:c r="K17" t="str">
        <x:v>Not run</x:v>
      </x:c>
      <x:c r="L17" t="str"/>
      <x:c r="M17" t="str"/>
      <x:c r="N17" t="str">
        <x:v>Synthetic case blueprint; materialize using fixed-seed generator</x:v>
      </x:c>
    </x:row>
    <x:row r="18" ht="24" customHeight="1">
      <x:c r="A18" t="str">
        <x:v>SYN-0017</x:v>
      </x:c>
      <x:c r="B18" t="str">
        <x:v>Routine completeness</x:v>
      </x:c>
      <x:c r="C18" t="str">
        <x:v>Complete coherent inputs</x:v>
      </x:c>
      <x:c r="D18" t="n">
        <x:v>17</x:v>
      </x:c>
      <x:c r="E18" t="str">
        <x:v>12–35</x:v>
      </x:c>
      <x:c r="F18" t="str">
        <x:v>Under 3</x:v>
      </x:c>
      <x:c r="G18" t="str">
        <x:v>no</x:v>
      </x:c>
      <x:c r="H18" t="str">
        <x:v>no</x:v>
      </x:c>
      <x:c r="I18" t="str">
        <x:v>FHIR parse + trace + no autonomous diagnosis</x:v>
      </x:c>
      <x:c r="J18" t="str">
        <x:v>ENGINEERING</x:v>
      </x:c>
      <x:c r="K18" t="str">
        <x:v>Not run</x:v>
      </x:c>
      <x:c r="L18" t="str"/>
      <x:c r="M18" t="str"/>
      <x:c r="N18" t="str">
        <x:v>Synthetic case blueprint; materialize using fixed-seed generator</x:v>
      </x:c>
    </x:row>
    <x:row r="19" ht="24" customHeight="1">
      <x:c r="A19" t="str">
        <x:v>SYN-0018</x:v>
      </x:c>
      <x:c r="B19" t="str">
        <x:v>Routine completeness</x:v>
      </x:c>
      <x:c r="C19" t="str">
        <x:v>Complete coherent inputs</x:v>
      </x:c>
      <x:c r="D19" t="n">
        <x:v>30</x:v>
      </x:c>
      <x:c r="E19" t="str">
        <x:v>12–35</x:v>
      </x:c>
      <x:c r="F19" t="str">
        <x:v>Under 3</x:v>
      </x:c>
      <x:c r="G19" t="str">
        <x:v>no</x:v>
      </x:c>
      <x:c r="H19" t="str">
        <x:v>no</x:v>
      </x:c>
      <x:c r="I19" t="str">
        <x:v>FHIR parse + trace + no autonomous diagnosis</x:v>
      </x:c>
      <x:c r="J19" t="str">
        <x:v>ENGINEERING</x:v>
      </x:c>
      <x:c r="K19" t="str">
        <x:v>Not run</x:v>
      </x:c>
      <x:c r="L19" t="str"/>
      <x:c r="M19" t="str"/>
      <x:c r="N19" t="str">
        <x:v>Synthetic case blueprint; materialize using fixed-seed generator</x:v>
      </x:c>
    </x:row>
    <x:row r="20" ht="24" customHeight="1">
      <x:c r="A20" t="str">
        <x:v>SYN-0019</x:v>
      </x:c>
      <x:c r="B20" t="str">
        <x:v>Routine completeness</x:v>
      </x:c>
      <x:c r="C20" t="str">
        <x:v>Complete coherent inputs</x:v>
      </x:c>
      <x:c r="D20" t="n">
        <x:v>40</x:v>
      </x:c>
      <x:c r="E20" t="str">
        <x:v>36–47</x:v>
      </x:c>
      <x:c r="F20" t="str">
        <x:v>3–5</x:v>
      </x:c>
      <x:c r="G20" t="str">
        <x:v>no</x:v>
      </x:c>
      <x:c r="H20" t="str">
        <x:v>no</x:v>
      </x:c>
      <x:c r="I20" t="str">
        <x:v>FHIR parse + trace + no autonomous diagnosis</x:v>
      </x:c>
      <x:c r="J20" t="str">
        <x:v>ENGINEERING</x:v>
      </x:c>
      <x:c r="K20" t="str">
        <x:v>Not run</x:v>
      </x:c>
      <x:c r="L20" t="str"/>
      <x:c r="M20" t="str"/>
      <x:c r="N20" t="str">
        <x:v>Synthetic case blueprint; materialize using fixed-seed generator</x:v>
      </x:c>
    </x:row>
    <x:row r="21" ht="24" customHeight="1">
      <x:c r="A21" t="str">
        <x:v>SYN-0020</x:v>
      </x:c>
      <x:c r="B21" t="str">
        <x:v>Routine completeness</x:v>
      </x:c>
      <x:c r="C21" t="str">
        <x:v>Complete coherent inputs</x:v>
      </x:c>
      <x:c r="D21" t="n">
        <x:v>54</x:v>
      </x:c>
      <x:c r="E21" t="str">
        <x:v>48–59</x:v>
      </x:c>
      <x:c r="F21" t="str">
        <x:v>3–5</x:v>
      </x:c>
      <x:c r="G21" t="str">
        <x:v>no</x:v>
      </x:c>
      <x:c r="H21" t="str">
        <x:v>no</x:v>
      </x:c>
      <x:c r="I21" t="str">
        <x:v>FHIR parse + trace + no autonomous diagnosis</x:v>
      </x:c>
      <x:c r="J21" t="str">
        <x:v>ENGINEERING</x:v>
      </x:c>
      <x:c r="K21" t="str">
        <x:v>Not run</x:v>
      </x:c>
      <x:c r="L21" t="str"/>
      <x:c r="M21" t="str"/>
      <x:c r="N21" t="str">
        <x:v>Synthetic case blueprint; materialize using fixed-seed generator</x:v>
      </x:c>
    </x:row>
    <x:row r="22" ht="24" customHeight="1">
      <x:c r="A22" t="str">
        <x:v>SYN-0021</x:v>
      </x:c>
      <x:c r="B22" t="str">
        <x:v>Routine completeness</x:v>
      </x:c>
      <x:c r="C22" t="str">
        <x:v>Complete coherent inputs</x:v>
      </x:c>
      <x:c r="D22" t="n">
        <x:v>66</x:v>
      </x:c>
      <x:c r="E22" t="str">
        <x:v>60–71</x:v>
      </x:c>
      <x:c r="F22" t="str">
        <x:v>3–5</x:v>
      </x:c>
      <x:c r="G22" t="str">
        <x:v>no</x:v>
      </x:c>
      <x:c r="H22" t="str">
        <x:v>no</x:v>
      </x:c>
      <x:c r="I22" t="str">
        <x:v>FHIR parse + trace + no autonomous diagnosis</x:v>
      </x:c>
      <x:c r="J22" t="str">
        <x:v>ENGINEERING</x:v>
      </x:c>
      <x:c r="K22" t="str">
        <x:v>Not run</x:v>
      </x:c>
      <x:c r="L22" t="str"/>
      <x:c r="M22" t="str"/>
      <x:c r="N22" t="str">
        <x:v>Synthetic case blueprint; materialize using fixed-seed generator</x:v>
      </x:c>
    </x:row>
    <x:row r="23" ht="24" customHeight="1">
      <x:c r="A23" t="str">
        <x:v>SYN-0022</x:v>
      </x:c>
      <x:c r="B23" t="str">
        <x:v>Routine completeness</x:v>
      </x:c>
      <x:c r="C23" t="str">
        <x:v>Complete coherent inputs</x:v>
      </x:c>
      <x:c r="D23" t="n">
        <x:v>1</x:v>
      </x:c>
      <x:c r="E23" t="str">
        <x:v>0–2</x:v>
      </x:c>
      <x:c r="F23" t="str">
        <x:v>Under 3</x:v>
      </x:c>
      <x:c r="G23" t="str">
        <x:v>no</x:v>
      </x:c>
      <x:c r="H23" t="str">
        <x:v>no</x:v>
      </x:c>
      <x:c r="I23" t="str">
        <x:v>FHIR parse + trace + no autonomous diagnosis</x:v>
      </x:c>
      <x:c r="J23" t="str">
        <x:v>ENGINEERING</x:v>
      </x:c>
      <x:c r="K23" t="str">
        <x:v>Not run</x:v>
      </x:c>
      <x:c r="L23" t="str"/>
      <x:c r="M23" t="str"/>
      <x:c r="N23" t="str">
        <x:v>Synthetic case blueprint; materialize using fixed-seed generator</x:v>
      </x:c>
    </x:row>
    <x:row r="24" ht="24" customHeight="1">
      <x:c r="A24" t="str">
        <x:v>SYN-0023</x:v>
      </x:c>
      <x:c r="B24" t="str">
        <x:v>Routine completeness</x:v>
      </x:c>
      <x:c r="C24" t="str">
        <x:v>Complete coherent inputs</x:v>
      </x:c>
      <x:c r="D24" t="n">
        <x:v>5</x:v>
      </x:c>
      <x:c r="E24" t="str">
        <x:v>3–11</x:v>
      </x:c>
      <x:c r="F24" t="str">
        <x:v>Under 3</x:v>
      </x:c>
      <x:c r="G24" t="str">
        <x:v>no</x:v>
      </x:c>
      <x:c r="H24" t="str">
        <x:v>no</x:v>
      </x:c>
      <x:c r="I24" t="str">
        <x:v>FHIR parse + trace + no autonomous diagnosis</x:v>
      </x:c>
      <x:c r="J24" t="str">
        <x:v>ENGINEERING</x:v>
      </x:c>
      <x:c r="K24" t="str">
        <x:v>Not run</x:v>
      </x:c>
      <x:c r="L24" t="str"/>
      <x:c r="M24" t="str"/>
      <x:c r="N24" t="str">
        <x:v>Synthetic case blueprint; materialize using fixed-seed generator</x:v>
      </x:c>
    </x:row>
    <x:row r="25" ht="24" customHeight="1">
      <x:c r="A25" t="str">
        <x:v>SYN-0024</x:v>
      </x:c>
      <x:c r="B25" t="str">
        <x:v>Routine completeness</x:v>
      </x:c>
      <x:c r="C25" t="str">
        <x:v>Complete coherent inputs</x:v>
      </x:c>
      <x:c r="D25" t="n">
        <x:v>17</x:v>
      </x:c>
      <x:c r="E25" t="str">
        <x:v>12–35</x:v>
      </x:c>
      <x:c r="F25" t="str">
        <x:v>Under 3</x:v>
      </x:c>
      <x:c r="G25" t="str">
        <x:v>no</x:v>
      </x:c>
      <x:c r="H25" t="str">
        <x:v>no</x:v>
      </x:c>
      <x:c r="I25" t="str">
        <x:v>FHIR parse + trace + no autonomous diagnosis</x:v>
      </x:c>
      <x:c r="J25" t="str">
        <x:v>ENGINEERING</x:v>
      </x:c>
      <x:c r="K25" t="str">
        <x:v>Not run</x:v>
      </x:c>
      <x:c r="L25" t="str"/>
      <x:c r="M25" t="str"/>
      <x:c r="N25" t="str">
        <x:v>Synthetic case blueprint; materialize using fixed-seed generator</x:v>
      </x:c>
    </x:row>
    <x:row r="26" ht="24" customHeight="1">
      <x:c r="A26" t="str">
        <x:v>SYN-0025</x:v>
      </x:c>
      <x:c r="B26" t="str">
        <x:v>Routine completeness</x:v>
      </x:c>
      <x:c r="C26" t="str">
        <x:v>Complete coherent inputs</x:v>
      </x:c>
      <x:c r="D26" t="n">
        <x:v>30</x:v>
      </x:c>
      <x:c r="E26" t="str">
        <x:v>12–35</x:v>
      </x:c>
      <x:c r="F26" t="str">
        <x:v>Under 3</x:v>
      </x:c>
      <x:c r="G26" t="str">
        <x:v>no</x:v>
      </x:c>
      <x:c r="H26" t="str">
        <x:v>no</x:v>
      </x:c>
      <x:c r="I26" t="str">
        <x:v>FHIR parse + trace + no autonomous diagnosis</x:v>
      </x:c>
      <x:c r="J26" t="str">
        <x:v>ENGINEERING</x:v>
      </x:c>
      <x:c r="K26" t="str">
        <x:v>Not run</x:v>
      </x:c>
      <x:c r="L26" t="str"/>
      <x:c r="M26" t="str"/>
      <x:c r="N26" t="str">
        <x:v>Synthetic case blueprint; materialize using fixed-seed generator</x:v>
      </x:c>
    </x:row>
    <x:row r="27" ht="24" customHeight="1">
      <x:c r="A27" t="str">
        <x:v>SYN-0026</x:v>
      </x:c>
      <x:c r="B27" t="str">
        <x:v>Routine completeness</x:v>
      </x:c>
      <x:c r="C27" t="str">
        <x:v>Complete coherent inputs</x:v>
      </x:c>
      <x:c r="D27" t="n">
        <x:v>40</x:v>
      </x:c>
      <x:c r="E27" t="str">
        <x:v>36–47</x:v>
      </x:c>
      <x:c r="F27" t="str">
        <x:v>3–5</x:v>
      </x:c>
      <x:c r="G27" t="str">
        <x:v>no</x:v>
      </x:c>
      <x:c r="H27" t="str">
        <x:v>no</x:v>
      </x:c>
      <x:c r="I27" t="str">
        <x:v>FHIR parse + trace + no autonomous diagnosis</x:v>
      </x:c>
      <x:c r="J27" t="str">
        <x:v>ENGINEERING</x:v>
      </x:c>
      <x:c r="K27" t="str">
        <x:v>Not run</x:v>
      </x:c>
      <x:c r="L27" t="str"/>
      <x:c r="M27" t="str"/>
      <x:c r="N27" t="str">
        <x:v>Synthetic case blueprint; materialize using fixed-seed generator</x:v>
      </x:c>
    </x:row>
    <x:row r="28" ht="24" customHeight="1">
      <x:c r="A28" t="str">
        <x:v>SYN-0027</x:v>
      </x:c>
      <x:c r="B28" t="str">
        <x:v>Routine completeness</x:v>
      </x:c>
      <x:c r="C28" t="str">
        <x:v>Complete coherent inputs</x:v>
      </x:c>
      <x:c r="D28" t="n">
        <x:v>54</x:v>
      </x:c>
      <x:c r="E28" t="str">
        <x:v>48–59</x:v>
      </x:c>
      <x:c r="F28" t="str">
        <x:v>3–5</x:v>
      </x:c>
      <x:c r="G28" t="str">
        <x:v>no</x:v>
      </x:c>
      <x:c r="H28" t="str">
        <x:v>no</x:v>
      </x:c>
      <x:c r="I28" t="str">
        <x:v>FHIR parse + trace + no autonomous diagnosis</x:v>
      </x:c>
      <x:c r="J28" t="str">
        <x:v>ENGINEERING</x:v>
      </x:c>
      <x:c r="K28" t="str">
        <x:v>Not run</x:v>
      </x:c>
      <x:c r="L28" t="str"/>
      <x:c r="M28" t="str"/>
      <x:c r="N28" t="str">
        <x:v>Synthetic case blueprint; materialize using fixed-seed generator</x:v>
      </x:c>
    </x:row>
    <x:row r="29" ht="24" customHeight="1">
      <x:c r="A29" t="str">
        <x:v>SYN-0028</x:v>
      </x:c>
      <x:c r="B29" t="str">
        <x:v>Routine completeness</x:v>
      </x:c>
      <x:c r="C29" t="str">
        <x:v>Complete coherent inputs</x:v>
      </x:c>
      <x:c r="D29" t="n">
        <x:v>66</x:v>
      </x:c>
      <x:c r="E29" t="str">
        <x:v>60–71</x:v>
      </x:c>
      <x:c r="F29" t="str">
        <x:v>3–5</x:v>
      </x:c>
      <x:c r="G29" t="str">
        <x:v>no</x:v>
      </x:c>
      <x:c r="H29" t="str">
        <x:v>no</x:v>
      </x:c>
      <x:c r="I29" t="str">
        <x:v>FHIR parse + trace + no autonomous diagnosis</x:v>
      </x:c>
      <x:c r="J29" t="str">
        <x:v>ENGINEERING</x:v>
      </x:c>
      <x:c r="K29" t="str">
        <x:v>Not run</x:v>
      </x:c>
      <x:c r="L29" t="str"/>
      <x:c r="M29" t="str"/>
      <x:c r="N29" t="str">
        <x:v>Synthetic case blueprint; materialize using fixed-seed generator</x:v>
      </x:c>
    </x:row>
    <x:row r="30" ht="24" customHeight="1">
      <x:c r="A30" t="str">
        <x:v>SYN-0029</x:v>
      </x:c>
      <x:c r="B30" t="str">
        <x:v>Routine completeness</x:v>
      </x:c>
      <x:c r="C30" t="str">
        <x:v>Complete coherent inputs</x:v>
      </x:c>
      <x:c r="D30" t="n">
        <x:v>1</x:v>
      </x:c>
      <x:c r="E30" t="str">
        <x:v>0–2</x:v>
      </x:c>
      <x:c r="F30" t="str">
        <x:v>Under 3</x:v>
      </x:c>
      <x:c r="G30" t="str">
        <x:v>no</x:v>
      </x:c>
      <x:c r="H30" t="str">
        <x:v>no</x:v>
      </x:c>
      <x:c r="I30" t="str">
        <x:v>FHIR parse + trace + no autonomous diagnosis</x:v>
      </x:c>
      <x:c r="J30" t="str">
        <x:v>ENGINEERING</x:v>
      </x:c>
      <x:c r="K30" t="str">
        <x:v>Not run</x:v>
      </x:c>
      <x:c r="L30" t="str"/>
      <x:c r="M30" t="str"/>
      <x:c r="N30" t="str">
        <x:v>Synthetic case blueprint; materialize using fixed-seed generator</x:v>
      </x:c>
    </x:row>
    <x:row r="31" ht="24" customHeight="1">
      <x:c r="A31" t="str">
        <x:v>SYN-0030</x:v>
      </x:c>
      <x:c r="B31" t="str">
        <x:v>Routine completeness</x:v>
      </x:c>
      <x:c r="C31" t="str">
        <x:v>Complete coherent inputs</x:v>
      </x:c>
      <x:c r="D31" t="n">
        <x:v>5</x:v>
      </x:c>
      <x:c r="E31" t="str">
        <x:v>3–11</x:v>
      </x:c>
      <x:c r="F31" t="str">
        <x:v>Under 3</x:v>
      </x:c>
      <x:c r="G31" t="str">
        <x:v>no</x:v>
      </x:c>
      <x:c r="H31" t="str">
        <x:v>no</x:v>
      </x:c>
      <x:c r="I31" t="str">
        <x:v>FHIR parse + trace + no autonomous diagnosis</x:v>
      </x:c>
      <x:c r="J31" t="str">
        <x:v>ENGINEERING</x:v>
      </x:c>
      <x:c r="K31" t="str">
        <x:v>Not run</x:v>
      </x:c>
      <x:c r="L31" t="str"/>
      <x:c r="M31" t="str"/>
      <x:c r="N31" t="str">
        <x:v>Synthetic case blueprint; materialize using fixed-seed generator</x:v>
      </x:c>
    </x:row>
    <x:row r="32" ht="24" customHeight="1">
      <x:c r="A32" t="str">
        <x:v>SYN-0031</x:v>
      </x:c>
      <x:c r="B32" t="str">
        <x:v>Routine completeness</x:v>
      </x:c>
      <x:c r="C32" t="str">
        <x:v>Complete coherent inputs</x:v>
      </x:c>
      <x:c r="D32" t="n">
        <x:v>17</x:v>
      </x:c>
      <x:c r="E32" t="str">
        <x:v>12–35</x:v>
      </x:c>
      <x:c r="F32" t="str">
        <x:v>Under 3</x:v>
      </x:c>
      <x:c r="G32" t="str">
        <x:v>no</x:v>
      </x:c>
      <x:c r="H32" t="str">
        <x:v>no</x:v>
      </x:c>
      <x:c r="I32" t="str">
        <x:v>FHIR parse + trace + no autonomous diagnosis</x:v>
      </x:c>
      <x:c r="J32" t="str">
        <x:v>ENGINEERING</x:v>
      </x:c>
      <x:c r="K32" t="str">
        <x:v>Not run</x:v>
      </x:c>
      <x:c r="L32" t="str"/>
      <x:c r="M32" t="str"/>
      <x:c r="N32" t="str">
        <x:v>Synthetic case blueprint; materialize using fixed-seed generator</x:v>
      </x:c>
    </x:row>
    <x:row r="33" ht="24" customHeight="1">
      <x:c r="A33" t="str">
        <x:v>SYN-0032</x:v>
      </x:c>
      <x:c r="B33" t="str">
        <x:v>Routine completeness</x:v>
      </x:c>
      <x:c r="C33" t="str">
        <x:v>Complete coherent inputs</x:v>
      </x:c>
      <x:c r="D33" t="n">
        <x:v>30</x:v>
      </x:c>
      <x:c r="E33" t="str">
        <x:v>12–35</x:v>
      </x:c>
      <x:c r="F33" t="str">
        <x:v>Under 3</x:v>
      </x:c>
      <x:c r="G33" t="str">
        <x:v>no</x:v>
      </x:c>
      <x:c r="H33" t="str">
        <x:v>no</x:v>
      </x:c>
      <x:c r="I33" t="str">
        <x:v>FHIR parse + trace + no autonomous diagnosis</x:v>
      </x:c>
      <x:c r="J33" t="str">
        <x:v>ENGINEERING</x:v>
      </x:c>
      <x:c r="K33" t="str">
        <x:v>Not run</x:v>
      </x:c>
      <x:c r="L33" t="str"/>
      <x:c r="M33" t="str"/>
      <x:c r="N33" t="str">
        <x:v>Synthetic case blueprint; materialize using fixed-seed generator</x:v>
      </x:c>
    </x:row>
    <x:row r="34" ht="24" customHeight="1">
      <x:c r="A34" t="str">
        <x:v>SYN-0033</x:v>
      </x:c>
      <x:c r="B34" t="str">
        <x:v>Routine completeness</x:v>
      </x:c>
      <x:c r="C34" t="str">
        <x:v>Complete coherent inputs</x:v>
      </x:c>
      <x:c r="D34" t="n">
        <x:v>40</x:v>
      </x:c>
      <x:c r="E34" t="str">
        <x:v>36–47</x:v>
      </x:c>
      <x:c r="F34" t="str">
        <x:v>3–5</x:v>
      </x:c>
      <x:c r="G34" t="str">
        <x:v>no</x:v>
      </x:c>
      <x:c r="H34" t="str">
        <x:v>no</x:v>
      </x:c>
      <x:c r="I34" t="str">
        <x:v>FHIR parse + trace + no autonomous diagnosis</x:v>
      </x:c>
      <x:c r="J34" t="str">
        <x:v>ENGINEERING</x:v>
      </x:c>
      <x:c r="K34" t="str">
        <x:v>Not run</x:v>
      </x:c>
      <x:c r="L34" t="str"/>
      <x:c r="M34" t="str"/>
      <x:c r="N34" t="str">
        <x:v>Synthetic case blueprint; materialize using fixed-seed generator</x:v>
      </x:c>
    </x:row>
    <x:row r="35" ht="24" customHeight="1">
      <x:c r="A35" t="str">
        <x:v>SYN-0034</x:v>
      </x:c>
      <x:c r="B35" t="str">
        <x:v>Routine completeness</x:v>
      </x:c>
      <x:c r="C35" t="str">
        <x:v>Complete coherent inputs</x:v>
      </x:c>
      <x:c r="D35" t="n">
        <x:v>54</x:v>
      </x:c>
      <x:c r="E35" t="str">
        <x:v>48–59</x:v>
      </x:c>
      <x:c r="F35" t="str">
        <x:v>3–5</x:v>
      </x:c>
      <x:c r="G35" t="str">
        <x:v>no</x:v>
      </x:c>
      <x:c r="H35" t="str">
        <x:v>no</x:v>
      </x:c>
      <x:c r="I35" t="str">
        <x:v>FHIR parse + trace + no autonomous diagnosis</x:v>
      </x:c>
      <x:c r="J35" t="str">
        <x:v>ENGINEERING</x:v>
      </x:c>
      <x:c r="K35" t="str">
        <x:v>Not run</x:v>
      </x:c>
      <x:c r="L35" t="str"/>
      <x:c r="M35" t="str"/>
      <x:c r="N35" t="str">
        <x:v>Synthetic case blueprint; materialize using fixed-seed generator</x:v>
      </x:c>
    </x:row>
    <x:row r="36" ht="24" customHeight="1">
      <x:c r="A36" t="str">
        <x:v>SYN-0035</x:v>
      </x:c>
      <x:c r="B36" t="str">
        <x:v>Routine completeness</x:v>
      </x:c>
      <x:c r="C36" t="str">
        <x:v>Complete coherent inputs</x:v>
      </x:c>
      <x:c r="D36" t="n">
        <x:v>66</x:v>
      </x:c>
      <x:c r="E36" t="str">
        <x:v>60–71</x:v>
      </x:c>
      <x:c r="F36" t="str">
        <x:v>3–5</x:v>
      </x:c>
      <x:c r="G36" t="str">
        <x:v>no</x:v>
      </x:c>
      <x:c r="H36" t="str">
        <x:v>no</x:v>
      </x:c>
      <x:c r="I36" t="str">
        <x:v>FHIR parse + trace + no autonomous diagnosis</x:v>
      </x:c>
      <x:c r="J36" t="str">
        <x:v>ENGINEERING</x:v>
      </x:c>
      <x:c r="K36" t="str">
        <x:v>Not run</x:v>
      </x:c>
      <x:c r="L36" t="str"/>
      <x:c r="M36" t="str"/>
      <x:c r="N36" t="str">
        <x:v>Synthetic case blueprint; materialize using fixed-seed generator</x:v>
      </x:c>
    </x:row>
    <x:row r="37" ht="24" customHeight="1">
      <x:c r="A37" t="str">
        <x:v>SYN-0036</x:v>
      </x:c>
      <x:c r="B37" t="str">
        <x:v>Routine completeness</x:v>
      </x:c>
      <x:c r="C37" t="str">
        <x:v>Complete coherent inputs</x:v>
      </x:c>
      <x:c r="D37" t="n">
        <x:v>1</x:v>
      </x:c>
      <x:c r="E37" t="str">
        <x:v>0–2</x:v>
      </x:c>
      <x:c r="F37" t="str">
        <x:v>Under 3</x:v>
      </x:c>
      <x:c r="G37" t="str">
        <x:v>no</x:v>
      </x:c>
      <x:c r="H37" t="str">
        <x:v>no</x:v>
      </x:c>
      <x:c r="I37" t="str">
        <x:v>FHIR parse + trace + no autonomous diagnosis</x:v>
      </x:c>
      <x:c r="J37" t="str">
        <x:v>ENGINEERING</x:v>
      </x:c>
      <x:c r="K37" t="str">
        <x:v>Not run</x:v>
      </x:c>
      <x:c r="L37" t="str"/>
      <x:c r="M37" t="str"/>
      <x:c r="N37" t="str">
        <x:v>Synthetic case blueprint; materialize using fixed-seed generator</x:v>
      </x:c>
    </x:row>
    <x:row r="38" ht="24" customHeight="1">
      <x:c r="A38" t="str">
        <x:v>SYN-0037</x:v>
      </x:c>
      <x:c r="B38" t="str">
        <x:v>Routine completeness</x:v>
      </x:c>
      <x:c r="C38" t="str">
        <x:v>Complete coherent inputs</x:v>
      </x:c>
      <x:c r="D38" t="n">
        <x:v>5</x:v>
      </x:c>
      <x:c r="E38" t="str">
        <x:v>3–11</x:v>
      </x:c>
      <x:c r="F38" t="str">
        <x:v>Under 3</x:v>
      </x:c>
      <x:c r="G38" t="str">
        <x:v>no</x:v>
      </x:c>
      <x:c r="H38" t="str">
        <x:v>no</x:v>
      </x:c>
      <x:c r="I38" t="str">
        <x:v>FHIR parse + trace + no autonomous diagnosis</x:v>
      </x:c>
      <x:c r="J38" t="str">
        <x:v>ENGINEERING</x:v>
      </x:c>
      <x:c r="K38" t="str">
        <x:v>Not run</x:v>
      </x:c>
      <x:c r="L38" t="str"/>
      <x:c r="M38" t="str"/>
      <x:c r="N38" t="str">
        <x:v>Synthetic case blueprint; materialize using fixed-seed generator</x:v>
      </x:c>
    </x:row>
    <x:row r="39" ht="24" customHeight="1">
      <x:c r="A39" t="str">
        <x:v>SYN-0038</x:v>
      </x:c>
      <x:c r="B39" t="str">
        <x:v>Routine completeness</x:v>
      </x:c>
      <x:c r="C39" t="str">
        <x:v>Complete coherent inputs</x:v>
      </x:c>
      <x:c r="D39" t="n">
        <x:v>17</x:v>
      </x:c>
      <x:c r="E39" t="str">
        <x:v>12–35</x:v>
      </x:c>
      <x:c r="F39" t="str">
        <x:v>Under 3</x:v>
      </x:c>
      <x:c r="G39" t="str">
        <x:v>no</x:v>
      </x:c>
      <x:c r="H39" t="str">
        <x:v>no</x:v>
      </x:c>
      <x:c r="I39" t="str">
        <x:v>FHIR parse + trace + no autonomous diagnosis</x:v>
      </x:c>
      <x:c r="J39" t="str">
        <x:v>ENGINEERING</x:v>
      </x:c>
      <x:c r="K39" t="str">
        <x:v>Not run</x:v>
      </x:c>
      <x:c r="L39" t="str"/>
      <x:c r="M39" t="str"/>
      <x:c r="N39" t="str">
        <x:v>Synthetic case blueprint; materialize using fixed-seed generator</x:v>
      </x:c>
    </x:row>
    <x:row r="40" ht="24" customHeight="1">
      <x:c r="A40" t="str">
        <x:v>SYN-0039</x:v>
      </x:c>
      <x:c r="B40" t="str">
        <x:v>Routine completeness</x:v>
      </x:c>
      <x:c r="C40" t="str">
        <x:v>Complete coherent inputs</x:v>
      </x:c>
      <x:c r="D40" t="n">
        <x:v>30</x:v>
      </x:c>
      <x:c r="E40" t="str">
        <x:v>12–35</x:v>
      </x:c>
      <x:c r="F40" t="str">
        <x:v>Under 3</x:v>
      </x:c>
      <x:c r="G40" t="str">
        <x:v>no</x:v>
      </x:c>
      <x:c r="H40" t="str">
        <x:v>no</x:v>
      </x:c>
      <x:c r="I40" t="str">
        <x:v>FHIR parse + trace + no autonomous diagnosis</x:v>
      </x:c>
      <x:c r="J40" t="str">
        <x:v>ENGINEERING</x:v>
      </x:c>
      <x:c r="K40" t="str">
        <x:v>Not run</x:v>
      </x:c>
      <x:c r="L40" t="str"/>
      <x:c r="M40" t="str"/>
      <x:c r="N40" t="str">
        <x:v>Synthetic case blueprint; materialize using fixed-seed generator</x:v>
      </x:c>
    </x:row>
    <x:row r="41" ht="24" customHeight="1">
      <x:c r="A41" t="str">
        <x:v>SYN-0040</x:v>
      </x:c>
      <x:c r="B41" t="str">
        <x:v>Routine completeness</x:v>
      </x:c>
      <x:c r="C41" t="str">
        <x:v>Complete coherent inputs</x:v>
      </x:c>
      <x:c r="D41" t="n">
        <x:v>40</x:v>
      </x:c>
      <x:c r="E41" t="str">
        <x:v>36–47</x:v>
      </x:c>
      <x:c r="F41" t="str">
        <x:v>3–5</x:v>
      </x:c>
      <x:c r="G41" t="str">
        <x:v>no</x:v>
      </x:c>
      <x:c r="H41" t="str">
        <x:v>no</x:v>
      </x:c>
      <x:c r="I41" t="str">
        <x:v>FHIR parse + trace + no autonomous diagnosis</x:v>
      </x:c>
      <x:c r="J41" t="str">
        <x:v>ENGINEERING</x:v>
      </x:c>
      <x:c r="K41" t="str">
        <x:v>Not run</x:v>
      </x:c>
      <x:c r="L41" t="str"/>
      <x:c r="M41" t="str"/>
      <x:c r="N41" t="str">
        <x:v>Synthetic case blueprint; materialize using fixed-seed generator</x:v>
      </x:c>
    </x:row>
    <x:row r="42" ht="24" customHeight="1">
      <x:c r="A42" t="str">
        <x:v>SYN-0041</x:v>
      </x:c>
      <x:c r="B42" t="str">
        <x:v>Elevated concern (reported)</x:v>
      </x:c>
      <x:c r="C42" t="str">
        <x:v>Prior concern caregiver-reported</x:v>
      </x:c>
      <x:c r="D42" t="n">
        <x:v>54</x:v>
      </x:c>
      <x:c r="E42" t="str">
        <x:v>48–59</x:v>
      </x:c>
      <x:c r="F42" t="str">
        <x:v>3–5</x:v>
      </x:c>
      <x:c r="G42" t="str">
        <x:v>no</x:v>
      </x:c>
      <x:c r="H42" t="str">
        <x:v>no</x:v>
      </x:c>
      <x:c r="I42" t="str">
        <x:v>Record source and concern; clinician decision remains pending</x:v>
      </x:c>
      <x:c r="J42" t="str">
        <x:v>CLINICAL REVIEW PENDING</x:v>
      </x:c>
      <x:c r="K42" t="str">
        <x:v>Not run</x:v>
      </x:c>
      <x:c r="L42" t="str"/>
      <x:c r="M42" t="str"/>
      <x:c r="N42" t="str">
        <x:v>Synthetic case blueprint; materialize using fixed-seed generator</x:v>
      </x:c>
    </x:row>
    <x:row r="43" ht="24" customHeight="1">
      <x:c r="A43" t="str">
        <x:v>SYN-0042</x:v>
      </x:c>
      <x:c r="B43" t="str">
        <x:v>Elevated concern (reported)</x:v>
      </x:c>
      <x:c r="C43" t="str">
        <x:v>Family history present</x:v>
      </x:c>
      <x:c r="D43" t="n">
        <x:v>66</x:v>
      </x:c>
      <x:c r="E43" t="str">
        <x:v>60–71</x:v>
      </x:c>
      <x:c r="F43" t="str">
        <x:v>3–5</x:v>
      </x:c>
      <x:c r="G43" t="str">
        <x:v>no</x:v>
      </x:c>
      <x:c r="H43" t="str">
        <x:v>no</x:v>
      </x:c>
      <x:c r="I43" t="str">
        <x:v>Record source and concern; clinician decision remains pending</x:v>
      </x:c>
      <x:c r="J43" t="str">
        <x:v>CLINICAL REVIEW PENDING</x:v>
      </x:c>
      <x:c r="K43" t="str">
        <x:v>Not run</x:v>
      </x:c>
      <x:c r="L43" t="str"/>
      <x:c r="M43" t="str"/>
      <x:c r="N43" t="str">
        <x:v>Synthetic case blueprint; materialize using fixed-seed generator</x:v>
      </x:c>
    </x:row>
    <x:row r="44" ht="24" customHeight="1">
      <x:c r="A44" t="str">
        <x:v>SYN-0043</x:v>
      </x:c>
      <x:c r="B44" t="str">
        <x:v>Elevated concern (reported)</x:v>
      </x:c>
      <x:c r="C44" t="str">
        <x:v>Prematurity history reported</x:v>
      </x:c>
      <x:c r="D44" t="n">
        <x:v>1</x:v>
      </x:c>
      <x:c r="E44" t="str">
        <x:v>0–2</x:v>
      </x:c>
      <x:c r="F44" t="str">
        <x:v>Under 3</x:v>
      </x:c>
      <x:c r="G44" t="str">
        <x:v>no</x:v>
      </x:c>
      <x:c r="H44" t="str">
        <x:v>no</x:v>
      </x:c>
      <x:c r="I44" t="str">
        <x:v>Record source and concern; clinician decision remains pending</x:v>
      </x:c>
      <x:c r="J44" t="str">
        <x:v>CLINICAL REVIEW PENDING</x:v>
      </x:c>
      <x:c r="K44" t="str">
        <x:v>Not run</x:v>
      </x:c>
      <x:c r="L44" t="str"/>
      <x:c r="M44" t="str"/>
      <x:c r="N44" t="str">
        <x:v>Synthetic case blueprint; materialize using fixed-seed generator</x:v>
      </x:c>
    </x:row>
    <x:row r="45" ht="24" customHeight="1">
      <x:c r="A45" t="str">
        <x:v>SYN-0044</x:v>
      </x:c>
      <x:c r="B45" t="str">
        <x:v>Elevated concern (reported)</x:v>
      </x:c>
      <x:c r="C45" t="str">
        <x:v>Prior screening concern</x:v>
      </x:c>
      <x:c r="D45" t="n">
        <x:v>5</x:v>
      </x:c>
      <x:c r="E45" t="str">
        <x:v>3–11</x:v>
      </x:c>
      <x:c r="F45" t="str">
        <x:v>Under 3</x:v>
      </x:c>
      <x:c r="G45" t="str">
        <x:v>no</x:v>
      </x:c>
      <x:c r="H45" t="str">
        <x:v>no</x:v>
      </x:c>
      <x:c r="I45" t="str">
        <x:v>Record source and concern; clinician decision remains pending</x:v>
      </x:c>
      <x:c r="J45" t="str">
        <x:v>CLINICAL REVIEW PENDING</x:v>
      </x:c>
      <x:c r="K45" t="str">
        <x:v>Not run</x:v>
      </x:c>
      <x:c r="L45" t="str"/>
      <x:c r="M45" t="str"/>
      <x:c r="N45" t="str">
        <x:v>Synthetic case blueprint; materialize using fixed-seed generator</x:v>
      </x:c>
    </x:row>
    <x:row r="46" ht="24" customHeight="1">
      <x:c r="A46" t="str">
        <x:v>SYN-0045</x:v>
      </x:c>
      <x:c r="B46" t="str">
        <x:v>Elevated concern (reported)</x:v>
      </x:c>
      <x:c r="C46" t="str">
        <x:v>Age-specific workflow path</x:v>
      </x:c>
      <x:c r="D46" t="n">
        <x:v>17</x:v>
      </x:c>
      <x:c r="E46" t="str">
        <x:v>12–35</x:v>
      </x:c>
      <x:c r="F46" t="str">
        <x:v>Under 3</x:v>
      </x:c>
      <x:c r="G46" t="str">
        <x:v>no</x:v>
      </x:c>
      <x:c r="H46" t="str">
        <x:v>no</x:v>
      </x:c>
      <x:c r="I46" t="str">
        <x:v>Record source and concern; clinician decision remains pending</x:v>
      </x:c>
      <x:c r="J46" t="str">
        <x:v>CLINICAL REVIEW PENDING</x:v>
      </x:c>
      <x:c r="K46" t="str">
        <x:v>Not run</x:v>
      </x:c>
      <x:c r="L46" t="str"/>
      <x:c r="M46" t="str"/>
      <x:c r="N46" t="str">
        <x:v>Synthetic case blueprint; materialize using fixed-seed generator</x:v>
      </x:c>
    </x:row>
    <x:row r="47" ht="24" customHeight="1">
      <x:c r="A47" t="str">
        <x:v>SYN-0046</x:v>
      </x:c>
      <x:c r="B47" t="str">
        <x:v>Elevated concern (reported)</x:v>
      </x:c>
      <x:c r="C47" t="str">
        <x:v>Prior concern caregiver-reported</x:v>
      </x:c>
      <x:c r="D47" t="n">
        <x:v>30</x:v>
      </x:c>
      <x:c r="E47" t="str">
        <x:v>12–35</x:v>
      </x:c>
      <x:c r="F47" t="str">
        <x:v>Under 3</x:v>
      </x:c>
      <x:c r="G47" t="str">
        <x:v>no</x:v>
      </x:c>
      <x:c r="H47" t="str">
        <x:v>no</x:v>
      </x:c>
      <x:c r="I47" t="str">
        <x:v>Record source and concern; clinician decision remains pending</x:v>
      </x:c>
      <x:c r="J47" t="str">
        <x:v>CLINICAL REVIEW PENDING</x:v>
      </x:c>
      <x:c r="K47" t="str">
        <x:v>Not run</x:v>
      </x:c>
      <x:c r="L47" t="str"/>
      <x:c r="M47" t="str"/>
      <x:c r="N47" t="str">
        <x:v>Synthetic case blueprint; materialize using fixed-seed generator</x:v>
      </x:c>
    </x:row>
    <x:row r="48" ht="24" customHeight="1">
      <x:c r="A48" t="str">
        <x:v>SYN-0047</x:v>
      </x:c>
      <x:c r="B48" t="str">
        <x:v>Elevated concern (reported)</x:v>
      </x:c>
      <x:c r="C48" t="str">
        <x:v>Family history present</x:v>
      </x:c>
      <x:c r="D48" t="n">
        <x:v>40</x:v>
      </x:c>
      <x:c r="E48" t="str">
        <x:v>36–47</x:v>
      </x:c>
      <x:c r="F48" t="str">
        <x:v>3–5</x:v>
      </x:c>
      <x:c r="G48" t="str">
        <x:v>no</x:v>
      </x:c>
      <x:c r="H48" t="str">
        <x:v>no</x:v>
      </x:c>
      <x:c r="I48" t="str">
        <x:v>Record source and concern; clinician decision remains pending</x:v>
      </x:c>
      <x:c r="J48" t="str">
        <x:v>CLINICAL REVIEW PENDING</x:v>
      </x:c>
      <x:c r="K48" t="str">
        <x:v>Not run</x:v>
      </x:c>
      <x:c r="L48" t="str"/>
      <x:c r="M48" t="str"/>
      <x:c r="N48" t="str">
        <x:v>Synthetic case blueprint; materialize using fixed-seed generator</x:v>
      </x:c>
    </x:row>
    <x:row r="49" ht="24" customHeight="1">
      <x:c r="A49" t="str">
        <x:v>SYN-0048</x:v>
      </x:c>
      <x:c r="B49" t="str">
        <x:v>Elevated concern (reported)</x:v>
      </x:c>
      <x:c r="C49" t="str">
        <x:v>Prematurity history reported</x:v>
      </x:c>
      <x:c r="D49" t="n">
        <x:v>54</x:v>
      </x:c>
      <x:c r="E49" t="str">
        <x:v>48–59</x:v>
      </x:c>
      <x:c r="F49" t="str">
        <x:v>3–5</x:v>
      </x:c>
      <x:c r="G49" t="str">
        <x:v>no</x:v>
      </x:c>
      <x:c r="H49" t="str">
        <x:v>no</x:v>
      </x:c>
      <x:c r="I49" t="str">
        <x:v>Record source and concern; clinician decision remains pending</x:v>
      </x:c>
      <x:c r="J49" t="str">
        <x:v>CLINICAL REVIEW PENDING</x:v>
      </x:c>
      <x:c r="K49" t="str">
        <x:v>Not run</x:v>
      </x:c>
      <x:c r="L49" t="str"/>
      <x:c r="M49" t="str"/>
      <x:c r="N49" t="str">
        <x:v>Synthetic case blueprint; materialize using fixed-seed generator</x:v>
      </x:c>
    </x:row>
    <x:row r="50" ht="24" customHeight="1">
      <x:c r="A50" t="str">
        <x:v>SYN-0049</x:v>
      </x:c>
      <x:c r="B50" t="str">
        <x:v>Elevated concern (reported)</x:v>
      </x:c>
      <x:c r="C50" t="str">
        <x:v>Prior screening concern</x:v>
      </x:c>
      <x:c r="D50" t="n">
        <x:v>66</x:v>
      </x:c>
      <x:c r="E50" t="str">
        <x:v>60–71</x:v>
      </x:c>
      <x:c r="F50" t="str">
        <x:v>3–5</x:v>
      </x:c>
      <x:c r="G50" t="str">
        <x:v>no</x:v>
      </x:c>
      <x:c r="H50" t="str">
        <x:v>no</x:v>
      </x:c>
      <x:c r="I50" t="str">
        <x:v>Record source and concern; clinician decision remains pending</x:v>
      </x:c>
      <x:c r="J50" t="str">
        <x:v>CLINICAL REVIEW PENDING</x:v>
      </x:c>
      <x:c r="K50" t="str">
        <x:v>Not run</x:v>
      </x:c>
      <x:c r="L50" t="str"/>
      <x:c r="M50" t="str"/>
      <x:c r="N50" t="str">
        <x:v>Synthetic case blueprint; materialize using fixed-seed generator</x:v>
      </x:c>
    </x:row>
    <x:row r="51" ht="24" customHeight="1">
      <x:c r="A51" t="str">
        <x:v>SYN-0050</x:v>
      </x:c>
      <x:c r="B51" t="str">
        <x:v>Elevated concern (reported)</x:v>
      </x:c>
      <x:c r="C51" t="str">
        <x:v>Age-specific workflow path</x:v>
      </x:c>
      <x:c r="D51" t="n">
        <x:v>1</x:v>
      </x:c>
      <x:c r="E51" t="str">
        <x:v>0–2</x:v>
      </x:c>
      <x:c r="F51" t="str">
        <x:v>Under 3</x:v>
      </x:c>
      <x:c r="G51" t="str">
        <x:v>no</x:v>
      </x:c>
      <x:c r="H51" t="str">
        <x:v>no</x:v>
      </x:c>
      <x:c r="I51" t="str">
        <x:v>Record source and concern; clinician decision remains pending</x:v>
      </x:c>
      <x:c r="J51" t="str">
        <x:v>CLINICAL REVIEW PENDING</x:v>
      </x:c>
      <x:c r="K51" t="str">
        <x:v>Not run</x:v>
      </x:c>
      <x:c r="L51" t="str"/>
      <x:c r="M51" t="str"/>
      <x:c r="N51" t="str">
        <x:v>Synthetic case blueprint; materialize using fixed-seed generator</x:v>
      </x:c>
    </x:row>
    <x:row r="52" ht="24" customHeight="1">
      <x:c r="A52" t="str">
        <x:v>SYN-0051</x:v>
      </x:c>
      <x:c r="B52" t="str">
        <x:v>Elevated concern (reported)</x:v>
      </x:c>
      <x:c r="C52" t="str">
        <x:v>Prior concern caregiver-reported</x:v>
      </x:c>
      <x:c r="D52" t="n">
        <x:v>5</x:v>
      </x:c>
      <x:c r="E52" t="str">
        <x:v>3–11</x:v>
      </x:c>
      <x:c r="F52" t="str">
        <x:v>Under 3</x:v>
      </x:c>
      <x:c r="G52" t="str">
        <x:v>no</x:v>
      </x:c>
      <x:c r="H52" t="str">
        <x:v>no</x:v>
      </x:c>
      <x:c r="I52" t="str">
        <x:v>Record source and concern; clinician decision remains pending</x:v>
      </x:c>
      <x:c r="J52" t="str">
        <x:v>CLINICAL REVIEW PENDING</x:v>
      </x:c>
      <x:c r="K52" t="str">
        <x:v>Not run</x:v>
      </x:c>
      <x:c r="L52" t="str"/>
      <x:c r="M52" t="str"/>
      <x:c r="N52" t="str">
        <x:v>Synthetic case blueprint; materialize using fixed-seed generator</x:v>
      </x:c>
    </x:row>
    <x:row r="53" ht="24" customHeight="1">
      <x:c r="A53" t="str">
        <x:v>SYN-0052</x:v>
      </x:c>
      <x:c r="B53" t="str">
        <x:v>Elevated concern (reported)</x:v>
      </x:c>
      <x:c r="C53" t="str">
        <x:v>Family history present</x:v>
      </x:c>
      <x:c r="D53" t="n">
        <x:v>17</x:v>
      </x:c>
      <x:c r="E53" t="str">
        <x:v>12–35</x:v>
      </x:c>
      <x:c r="F53" t="str">
        <x:v>Under 3</x:v>
      </x:c>
      <x:c r="G53" t="str">
        <x:v>no</x:v>
      </x:c>
      <x:c r="H53" t="str">
        <x:v>no</x:v>
      </x:c>
      <x:c r="I53" t="str">
        <x:v>Record source and concern; clinician decision remains pending</x:v>
      </x:c>
      <x:c r="J53" t="str">
        <x:v>CLINICAL REVIEW PENDING</x:v>
      </x:c>
      <x:c r="K53" t="str">
        <x:v>Not run</x:v>
      </x:c>
      <x:c r="L53" t="str"/>
      <x:c r="M53" t="str"/>
      <x:c r="N53" t="str">
        <x:v>Synthetic case blueprint; materialize using fixed-seed generator</x:v>
      </x:c>
    </x:row>
    <x:row r="54" ht="24" customHeight="1">
      <x:c r="A54" t="str">
        <x:v>SYN-0053</x:v>
      </x:c>
      <x:c r="B54" t="str">
        <x:v>Elevated concern (reported)</x:v>
      </x:c>
      <x:c r="C54" t="str">
        <x:v>Prematurity history reported</x:v>
      </x:c>
      <x:c r="D54" t="n">
        <x:v>30</x:v>
      </x:c>
      <x:c r="E54" t="str">
        <x:v>12–35</x:v>
      </x:c>
      <x:c r="F54" t="str">
        <x:v>Under 3</x:v>
      </x:c>
      <x:c r="G54" t="str">
        <x:v>no</x:v>
      </x:c>
      <x:c r="H54" t="str">
        <x:v>no</x:v>
      </x:c>
      <x:c r="I54" t="str">
        <x:v>Record source and concern; clinician decision remains pending</x:v>
      </x:c>
      <x:c r="J54" t="str">
        <x:v>CLINICAL REVIEW PENDING</x:v>
      </x:c>
      <x:c r="K54" t="str">
        <x:v>Not run</x:v>
      </x:c>
      <x:c r="L54" t="str"/>
      <x:c r="M54" t="str"/>
      <x:c r="N54" t="str">
        <x:v>Synthetic case blueprint; materialize using fixed-seed generator</x:v>
      </x:c>
    </x:row>
    <x:row r="55" ht="24" customHeight="1">
      <x:c r="A55" t="str">
        <x:v>SYN-0054</x:v>
      </x:c>
      <x:c r="B55" t="str">
        <x:v>Elevated concern (reported)</x:v>
      </x:c>
      <x:c r="C55" t="str">
        <x:v>Prior screening concern</x:v>
      </x:c>
      <x:c r="D55" t="n">
        <x:v>40</x:v>
      </x:c>
      <x:c r="E55" t="str">
        <x:v>36–47</x:v>
      </x:c>
      <x:c r="F55" t="str">
        <x:v>3–5</x:v>
      </x:c>
      <x:c r="G55" t="str">
        <x:v>no</x:v>
      </x:c>
      <x:c r="H55" t="str">
        <x:v>no</x:v>
      </x:c>
      <x:c r="I55" t="str">
        <x:v>Record source and concern; clinician decision remains pending</x:v>
      </x:c>
      <x:c r="J55" t="str">
        <x:v>CLINICAL REVIEW PENDING</x:v>
      </x:c>
      <x:c r="K55" t="str">
        <x:v>Not run</x:v>
      </x:c>
      <x:c r="L55" t="str"/>
      <x:c r="M55" t="str"/>
      <x:c r="N55" t="str">
        <x:v>Synthetic case blueprint; materialize using fixed-seed generator</x:v>
      </x:c>
    </x:row>
    <x:row r="56" ht="24" customHeight="1">
      <x:c r="A56" t="str">
        <x:v>SYN-0055</x:v>
      </x:c>
      <x:c r="B56" t="str">
        <x:v>Elevated concern (reported)</x:v>
      </x:c>
      <x:c r="C56" t="str">
        <x:v>Age-specific workflow path</x:v>
      </x:c>
      <x:c r="D56" t="n">
        <x:v>54</x:v>
      </x:c>
      <x:c r="E56" t="str">
        <x:v>48–59</x:v>
      </x:c>
      <x:c r="F56" t="str">
        <x:v>3–5</x:v>
      </x:c>
      <x:c r="G56" t="str">
        <x:v>no</x:v>
      </x:c>
      <x:c r="H56" t="str">
        <x:v>no</x:v>
      </x:c>
      <x:c r="I56" t="str">
        <x:v>Record source and concern; clinician decision remains pending</x:v>
      </x:c>
      <x:c r="J56" t="str">
        <x:v>CLINICAL REVIEW PENDING</x:v>
      </x:c>
      <x:c r="K56" t="str">
        <x:v>Not run</x:v>
      </x:c>
      <x:c r="L56" t="str"/>
      <x:c r="M56" t="str"/>
      <x:c r="N56" t="str">
        <x:v>Synthetic case blueprint; materialize using fixed-seed generator</x:v>
      </x:c>
    </x:row>
    <x:row r="57" ht="24" customHeight="1">
      <x:c r="A57" t="str">
        <x:v>SYN-0056</x:v>
      </x:c>
      <x:c r="B57" t="str">
        <x:v>Elevated concern (reported)</x:v>
      </x:c>
      <x:c r="C57" t="str">
        <x:v>Prior concern caregiver-reported</x:v>
      </x:c>
      <x:c r="D57" t="n">
        <x:v>66</x:v>
      </x:c>
      <x:c r="E57" t="str">
        <x:v>60–71</x:v>
      </x:c>
      <x:c r="F57" t="str">
        <x:v>3–5</x:v>
      </x:c>
      <x:c r="G57" t="str">
        <x:v>no</x:v>
      </x:c>
      <x:c r="H57" t="str">
        <x:v>no</x:v>
      </x:c>
      <x:c r="I57" t="str">
        <x:v>Record source and concern; clinician decision remains pending</x:v>
      </x:c>
      <x:c r="J57" t="str">
        <x:v>CLINICAL REVIEW PENDING</x:v>
      </x:c>
      <x:c r="K57" t="str">
        <x:v>Not run</x:v>
      </x:c>
      <x:c r="L57" t="str"/>
      <x:c r="M57" t="str"/>
      <x:c r="N57" t="str">
        <x:v>Synthetic case blueprint; materialize using fixed-seed generator</x:v>
      </x:c>
    </x:row>
    <x:row r="58" ht="24" customHeight="1">
      <x:c r="A58" t="str">
        <x:v>SYN-0057</x:v>
      </x:c>
      <x:c r="B58" t="str">
        <x:v>Elevated concern (reported)</x:v>
      </x:c>
      <x:c r="C58" t="str">
        <x:v>Family history present</x:v>
      </x:c>
      <x:c r="D58" t="n">
        <x:v>1</x:v>
      </x:c>
      <x:c r="E58" t="str">
        <x:v>0–2</x:v>
      </x:c>
      <x:c r="F58" t="str">
        <x:v>Under 3</x:v>
      </x:c>
      <x:c r="G58" t="str">
        <x:v>no</x:v>
      </x:c>
      <x:c r="H58" t="str">
        <x:v>no</x:v>
      </x:c>
      <x:c r="I58" t="str">
        <x:v>Record source and concern; clinician decision remains pending</x:v>
      </x:c>
      <x:c r="J58" t="str">
        <x:v>CLINICAL REVIEW PENDING</x:v>
      </x:c>
      <x:c r="K58" t="str">
        <x:v>Not run</x:v>
      </x:c>
      <x:c r="L58" t="str"/>
      <x:c r="M58" t="str"/>
      <x:c r="N58" t="str">
        <x:v>Synthetic case blueprint; materialize using fixed-seed generator</x:v>
      </x:c>
    </x:row>
    <x:row r="59" ht="24" customHeight="1">
      <x:c r="A59" t="str">
        <x:v>SYN-0058</x:v>
      </x:c>
      <x:c r="B59" t="str">
        <x:v>Elevated concern (reported)</x:v>
      </x:c>
      <x:c r="C59" t="str">
        <x:v>Prematurity history reported</x:v>
      </x:c>
      <x:c r="D59" t="n">
        <x:v>5</x:v>
      </x:c>
      <x:c r="E59" t="str">
        <x:v>3–11</x:v>
      </x:c>
      <x:c r="F59" t="str">
        <x:v>Under 3</x:v>
      </x:c>
      <x:c r="G59" t="str">
        <x:v>no</x:v>
      </x:c>
      <x:c r="H59" t="str">
        <x:v>no</x:v>
      </x:c>
      <x:c r="I59" t="str">
        <x:v>Record source and concern; clinician decision remains pending</x:v>
      </x:c>
      <x:c r="J59" t="str">
        <x:v>CLINICAL REVIEW PENDING</x:v>
      </x:c>
      <x:c r="K59" t="str">
        <x:v>Not run</x:v>
      </x:c>
      <x:c r="L59" t="str"/>
      <x:c r="M59" t="str"/>
      <x:c r="N59" t="str">
        <x:v>Synthetic case blueprint; materialize using fixed-seed generator</x:v>
      </x:c>
    </x:row>
    <x:row r="60" ht="24" customHeight="1">
      <x:c r="A60" t="str">
        <x:v>SYN-0059</x:v>
      </x:c>
      <x:c r="B60" t="str">
        <x:v>Elevated concern (reported)</x:v>
      </x:c>
      <x:c r="C60" t="str">
        <x:v>Prior screening concern</x:v>
      </x:c>
      <x:c r="D60" t="n">
        <x:v>17</x:v>
      </x:c>
      <x:c r="E60" t="str">
        <x:v>12–35</x:v>
      </x:c>
      <x:c r="F60" t="str">
        <x:v>Under 3</x:v>
      </x:c>
      <x:c r="G60" t="str">
        <x:v>no</x:v>
      </x:c>
      <x:c r="H60" t="str">
        <x:v>no</x:v>
      </x:c>
      <x:c r="I60" t="str">
        <x:v>Record source and concern; clinician decision remains pending</x:v>
      </x:c>
      <x:c r="J60" t="str">
        <x:v>CLINICAL REVIEW PENDING</x:v>
      </x:c>
      <x:c r="K60" t="str">
        <x:v>Not run</x:v>
      </x:c>
      <x:c r="L60" t="str"/>
      <x:c r="M60" t="str"/>
      <x:c r="N60" t="str">
        <x:v>Synthetic case blueprint; materialize using fixed-seed generator</x:v>
      </x:c>
    </x:row>
    <x:row r="61" ht="24" customHeight="1">
      <x:c r="A61" t="str">
        <x:v>SYN-0060</x:v>
      </x:c>
      <x:c r="B61" t="str">
        <x:v>Elevated concern (reported)</x:v>
      </x:c>
      <x:c r="C61" t="str">
        <x:v>Age-specific workflow path</x:v>
      </x:c>
      <x:c r="D61" t="n">
        <x:v>30</x:v>
      </x:c>
      <x:c r="E61" t="str">
        <x:v>12–35</x:v>
      </x:c>
      <x:c r="F61" t="str">
        <x:v>Under 3</x:v>
      </x:c>
      <x:c r="G61" t="str">
        <x:v>no</x:v>
      </x:c>
      <x:c r="H61" t="str">
        <x:v>no</x:v>
      </x:c>
      <x:c r="I61" t="str">
        <x:v>Record source and concern; clinician decision remains pending</x:v>
      </x:c>
      <x:c r="J61" t="str">
        <x:v>CLINICAL REVIEW PENDING</x:v>
      </x:c>
      <x:c r="K61" t="str">
        <x:v>Not run</x:v>
      </x:c>
      <x:c r="L61" t="str"/>
      <x:c r="M61" t="str"/>
      <x:c r="N61" t="str">
        <x:v>Synthetic case blueprint; materialize using fixed-seed generator</x:v>
      </x:c>
    </x:row>
    <x:row r="62" ht="24" customHeight="1">
      <x:c r="A62" t="str">
        <x:v>SYN-0061</x:v>
      </x:c>
      <x:c r="B62" t="str">
        <x:v>Elevated concern (reported)</x:v>
      </x:c>
      <x:c r="C62" t="str">
        <x:v>Prior concern caregiver-reported</x:v>
      </x:c>
      <x:c r="D62" t="n">
        <x:v>40</x:v>
      </x:c>
      <x:c r="E62" t="str">
        <x:v>36–47</x:v>
      </x:c>
      <x:c r="F62" t="str">
        <x:v>3–5</x:v>
      </x:c>
      <x:c r="G62" t="str">
        <x:v>no</x:v>
      </x:c>
      <x:c r="H62" t="str">
        <x:v>no</x:v>
      </x:c>
      <x:c r="I62" t="str">
        <x:v>Record source and concern; clinician decision remains pending</x:v>
      </x:c>
      <x:c r="J62" t="str">
        <x:v>CLINICAL REVIEW PENDING</x:v>
      </x:c>
      <x:c r="K62" t="str">
        <x:v>Not run</x:v>
      </x:c>
      <x:c r="L62" t="str"/>
      <x:c r="M62" t="str"/>
      <x:c r="N62" t="str">
        <x:v>Synthetic case blueprint; materialize using fixed-seed generator</x:v>
      </x:c>
    </x:row>
    <x:row r="63" ht="24" customHeight="1">
      <x:c r="A63" t="str">
        <x:v>SYN-0062</x:v>
      </x:c>
      <x:c r="B63" t="str">
        <x:v>Elevated concern (reported)</x:v>
      </x:c>
      <x:c r="C63" t="str">
        <x:v>Family history present</x:v>
      </x:c>
      <x:c r="D63" t="n">
        <x:v>54</x:v>
      </x:c>
      <x:c r="E63" t="str">
        <x:v>48–59</x:v>
      </x:c>
      <x:c r="F63" t="str">
        <x:v>3–5</x:v>
      </x:c>
      <x:c r="G63" t="str">
        <x:v>no</x:v>
      </x:c>
      <x:c r="H63" t="str">
        <x:v>no</x:v>
      </x:c>
      <x:c r="I63" t="str">
        <x:v>Record source and concern; clinician decision remains pending</x:v>
      </x:c>
      <x:c r="J63" t="str">
        <x:v>CLINICAL REVIEW PENDING</x:v>
      </x:c>
      <x:c r="K63" t="str">
        <x:v>Not run</x:v>
      </x:c>
      <x:c r="L63" t="str"/>
      <x:c r="M63" t="str"/>
      <x:c r="N63" t="str">
        <x:v>Synthetic case blueprint; materialize using fixed-seed generator</x:v>
      </x:c>
    </x:row>
    <x:row r="64" ht="24" customHeight="1">
      <x:c r="A64" t="str">
        <x:v>SYN-0063</x:v>
      </x:c>
      <x:c r="B64" t="str">
        <x:v>Elevated concern (reported)</x:v>
      </x:c>
      <x:c r="C64" t="str">
        <x:v>Prematurity history reported</x:v>
      </x:c>
      <x:c r="D64" t="n">
        <x:v>66</x:v>
      </x:c>
      <x:c r="E64" t="str">
        <x:v>60–71</x:v>
      </x:c>
      <x:c r="F64" t="str">
        <x:v>3–5</x:v>
      </x:c>
      <x:c r="G64" t="str">
        <x:v>no</x:v>
      </x:c>
      <x:c r="H64" t="str">
        <x:v>no</x:v>
      </x:c>
      <x:c r="I64" t="str">
        <x:v>Record source and concern; clinician decision remains pending</x:v>
      </x:c>
      <x:c r="J64" t="str">
        <x:v>CLINICAL REVIEW PENDING</x:v>
      </x:c>
      <x:c r="K64" t="str">
        <x:v>Not run</x:v>
      </x:c>
      <x:c r="L64" t="str"/>
      <x:c r="M64" t="str"/>
      <x:c r="N64" t="str">
        <x:v>Synthetic case blueprint; materialize using fixed-seed generator</x:v>
      </x:c>
    </x:row>
    <x:row r="65" ht="24" customHeight="1">
      <x:c r="A65" t="str">
        <x:v>SYN-0064</x:v>
      </x:c>
      <x:c r="B65" t="str">
        <x:v>Elevated concern (reported)</x:v>
      </x:c>
      <x:c r="C65" t="str">
        <x:v>Prior screening concern</x:v>
      </x:c>
      <x:c r="D65" t="n">
        <x:v>1</x:v>
      </x:c>
      <x:c r="E65" t="str">
        <x:v>0–2</x:v>
      </x:c>
      <x:c r="F65" t="str">
        <x:v>Under 3</x:v>
      </x:c>
      <x:c r="G65" t="str">
        <x:v>no</x:v>
      </x:c>
      <x:c r="H65" t="str">
        <x:v>no</x:v>
      </x:c>
      <x:c r="I65" t="str">
        <x:v>Record source and concern; clinician decision remains pending</x:v>
      </x:c>
      <x:c r="J65" t="str">
        <x:v>CLINICAL REVIEW PENDING</x:v>
      </x:c>
      <x:c r="K65" t="str">
        <x:v>Not run</x:v>
      </x:c>
      <x:c r="L65" t="str"/>
      <x:c r="M65" t="str"/>
      <x:c r="N65" t="str">
        <x:v>Synthetic case blueprint; materialize using fixed-seed generator</x:v>
      </x:c>
    </x:row>
    <x:row r="66" ht="24" customHeight="1">
      <x:c r="A66" t="str">
        <x:v>SYN-0065</x:v>
      </x:c>
      <x:c r="B66" t="str">
        <x:v>Elevated concern (reported)</x:v>
      </x:c>
      <x:c r="C66" t="str">
        <x:v>Age-specific workflow path</x:v>
      </x:c>
      <x:c r="D66" t="n">
        <x:v>5</x:v>
      </x:c>
      <x:c r="E66" t="str">
        <x:v>3–11</x:v>
      </x:c>
      <x:c r="F66" t="str">
        <x:v>Under 3</x:v>
      </x:c>
      <x:c r="G66" t="str">
        <x:v>no</x:v>
      </x:c>
      <x:c r="H66" t="str">
        <x:v>no</x:v>
      </x:c>
      <x:c r="I66" t="str">
        <x:v>Record source and concern; clinician decision remains pending</x:v>
      </x:c>
      <x:c r="J66" t="str">
        <x:v>CLINICAL REVIEW PENDING</x:v>
      </x:c>
      <x:c r="K66" t="str">
        <x:v>Not run</x:v>
      </x:c>
      <x:c r="L66" t="str"/>
      <x:c r="M66" t="str"/>
      <x:c r="N66" t="str">
        <x:v>Synthetic case blueprint; materialize using fixed-seed generator</x:v>
      </x:c>
    </x:row>
    <x:row r="67" ht="24" customHeight="1">
      <x:c r="A67" t="str">
        <x:v>SYN-0066</x:v>
      </x:c>
      <x:c r="B67" t="str">
        <x:v>Elevated concern (reported)</x:v>
      </x:c>
      <x:c r="C67" t="str">
        <x:v>Prior concern caregiver-reported</x:v>
      </x:c>
      <x:c r="D67" t="n">
        <x:v>17</x:v>
      </x:c>
      <x:c r="E67" t="str">
        <x:v>12–35</x:v>
      </x:c>
      <x:c r="F67" t="str">
        <x:v>Under 3</x:v>
      </x:c>
      <x:c r="G67" t="str">
        <x:v>no</x:v>
      </x:c>
      <x:c r="H67" t="str">
        <x:v>no</x:v>
      </x:c>
      <x:c r="I67" t="str">
        <x:v>Record source and concern; clinician decision remains pending</x:v>
      </x:c>
      <x:c r="J67" t="str">
        <x:v>CLINICAL REVIEW PENDING</x:v>
      </x:c>
      <x:c r="K67" t="str">
        <x:v>Not run</x:v>
      </x:c>
      <x:c r="L67" t="str"/>
      <x:c r="M67" t="str"/>
      <x:c r="N67" t="str">
        <x:v>Synthetic case blueprint; materialize using fixed-seed generator</x:v>
      </x:c>
    </x:row>
    <x:row r="68" ht="24" customHeight="1">
      <x:c r="A68" t="str">
        <x:v>SYN-0067</x:v>
      </x:c>
      <x:c r="B68" t="str">
        <x:v>Elevated concern (reported)</x:v>
      </x:c>
      <x:c r="C68" t="str">
        <x:v>Family history present</x:v>
      </x:c>
      <x:c r="D68" t="n">
        <x:v>30</x:v>
      </x:c>
      <x:c r="E68" t="str">
        <x:v>12–35</x:v>
      </x:c>
      <x:c r="F68" t="str">
        <x:v>Under 3</x:v>
      </x:c>
      <x:c r="G68" t="str">
        <x:v>no</x:v>
      </x:c>
      <x:c r="H68" t="str">
        <x:v>no</x:v>
      </x:c>
      <x:c r="I68" t="str">
        <x:v>Record source and concern; clinician decision remains pending</x:v>
      </x:c>
      <x:c r="J68" t="str">
        <x:v>CLINICAL REVIEW PENDING</x:v>
      </x:c>
      <x:c r="K68" t="str">
        <x:v>Not run</x:v>
      </x:c>
      <x:c r="L68" t="str"/>
      <x:c r="M68" t="str"/>
      <x:c r="N68" t="str">
        <x:v>Synthetic case blueprint; materialize using fixed-seed generator</x:v>
      </x:c>
    </x:row>
    <x:row r="69" ht="24" customHeight="1">
      <x:c r="A69" t="str">
        <x:v>SYN-0068</x:v>
      </x:c>
      <x:c r="B69" t="str">
        <x:v>Elevated concern (reported)</x:v>
      </x:c>
      <x:c r="C69" t="str">
        <x:v>Prematurity history reported</x:v>
      </x:c>
      <x:c r="D69" t="n">
        <x:v>40</x:v>
      </x:c>
      <x:c r="E69" t="str">
        <x:v>36–47</x:v>
      </x:c>
      <x:c r="F69" t="str">
        <x:v>3–5</x:v>
      </x:c>
      <x:c r="G69" t="str">
        <x:v>no</x:v>
      </x:c>
      <x:c r="H69" t="str">
        <x:v>no</x:v>
      </x:c>
      <x:c r="I69" t="str">
        <x:v>Record source and concern; clinician decision remains pending</x:v>
      </x:c>
      <x:c r="J69" t="str">
        <x:v>CLINICAL REVIEW PENDING</x:v>
      </x:c>
      <x:c r="K69" t="str">
        <x:v>Not run</x:v>
      </x:c>
      <x:c r="L69" t="str"/>
      <x:c r="M69" t="str"/>
      <x:c r="N69" t="str">
        <x:v>Synthetic case blueprint; materialize using fixed-seed generator</x:v>
      </x:c>
    </x:row>
    <x:row r="70" ht="24" customHeight="1">
      <x:c r="A70" t="str">
        <x:v>SYN-0069</x:v>
      </x:c>
      <x:c r="B70" t="str">
        <x:v>Elevated concern (reported)</x:v>
      </x:c>
      <x:c r="C70" t="str">
        <x:v>Prior screening concern</x:v>
      </x:c>
      <x:c r="D70" t="n">
        <x:v>54</x:v>
      </x:c>
      <x:c r="E70" t="str">
        <x:v>48–59</x:v>
      </x:c>
      <x:c r="F70" t="str">
        <x:v>3–5</x:v>
      </x:c>
      <x:c r="G70" t="str">
        <x:v>no</x:v>
      </x:c>
      <x:c r="H70" t="str">
        <x:v>no</x:v>
      </x:c>
      <x:c r="I70" t="str">
        <x:v>Record source and concern; clinician decision remains pending</x:v>
      </x:c>
      <x:c r="J70" t="str">
        <x:v>CLINICAL REVIEW PENDING</x:v>
      </x:c>
      <x:c r="K70" t="str">
        <x:v>Not run</x:v>
      </x:c>
      <x:c r="L70" t="str"/>
      <x:c r="M70" t="str"/>
      <x:c r="N70" t="str">
        <x:v>Synthetic case blueprint; materialize using fixed-seed generator</x:v>
      </x:c>
    </x:row>
    <x:row r="71" ht="24" customHeight="1">
      <x:c r="A71" t="str">
        <x:v>SYN-0070</x:v>
      </x:c>
      <x:c r="B71" t="str">
        <x:v>Elevated concern (reported)</x:v>
      </x:c>
      <x:c r="C71" t="str">
        <x:v>Age-specific workflow path</x:v>
      </x:c>
      <x:c r="D71" t="n">
        <x:v>66</x:v>
      </x:c>
      <x:c r="E71" t="str">
        <x:v>60–71</x:v>
      </x:c>
      <x:c r="F71" t="str">
        <x:v>3–5</x:v>
      </x:c>
      <x:c r="G71" t="str">
        <x:v>no</x:v>
      </x:c>
      <x:c r="H71" t="str">
        <x:v>no</x:v>
      </x:c>
      <x:c r="I71" t="str">
        <x:v>Record source and concern; clinician decision remains pending</x:v>
      </x:c>
      <x:c r="J71" t="str">
        <x:v>CLINICAL REVIEW PENDING</x:v>
      </x:c>
      <x:c r="K71" t="str">
        <x:v>Not run</x:v>
      </x:c>
      <x:c r="L71" t="str"/>
      <x:c r="M71" t="str"/>
      <x:c r="N71" t="str">
        <x:v>Synthetic case blueprint; materialize using fixed-seed generator</x:v>
      </x:c>
    </x:row>
    <x:row r="72" ht="24" customHeight="1">
      <x:c r="A72" t="str">
        <x:v>SYN-0071</x:v>
      </x:c>
      <x:c r="B72" t="str">
        <x:v>Missing information</x:v>
      </x:c>
      <x:c r="C72" t="str">
        <x:v>Unknown optional history</x:v>
      </x:c>
      <x:c r="D72" t="n">
        <x:v>1</x:v>
      </x:c>
      <x:c r="E72" t="str">
        <x:v>0–2</x:v>
      </x:c>
      <x:c r="F72" t="str">
        <x:v>Under 3</x:v>
      </x:c>
      <x:c r="G72" t="str">
        <x:v>yes</x:v>
      </x:c>
      <x:c r="H72" t="str">
        <x:v>no</x:v>
      </x:c>
      <x:c r="I72" t="str">
        <x:v>Preserve missingness; apply documented hold/abstention or data-quality rule</x:v>
      </x:c>
      <x:c r="J72" t="str">
        <x:v>ENGINEERING—RULE CHECK</x:v>
      </x:c>
      <x:c r="K72" t="str">
        <x:v>Not run</x:v>
      </x:c>
      <x:c r="L72" t="str"/>
      <x:c r="M72" t="str"/>
      <x:c r="N72" t="str">
        <x:v>Synthetic case blueprint; materialize using fixed-seed generator</x:v>
      </x:c>
    </x:row>
    <x:row r="73" ht="24" customHeight="1">
      <x:c r="A73" t="str">
        <x:v>SYN-0072</x:v>
      </x:c>
      <x:c r="B73" t="str">
        <x:v>Missing information</x:v>
      </x:c>
      <x:c r="C73" t="str">
        <x:v>Absent critical timestamp</x:v>
      </x:c>
      <x:c r="D73" t="n">
        <x:v>5</x:v>
      </x:c>
      <x:c r="E73" t="str">
        <x:v>3–11</x:v>
      </x:c>
      <x:c r="F73" t="str">
        <x:v>Under 3</x:v>
      </x:c>
      <x:c r="G73" t="str">
        <x:v>yes</x:v>
      </x:c>
      <x:c r="H73" t="str">
        <x:v>no</x:v>
      </x:c>
      <x:c r="I73" t="str">
        <x:v>Preserve missingness; apply documented hold/abstention or data-quality rule</x:v>
      </x:c>
      <x:c r="J73" t="str">
        <x:v>ENGINEERING—RULE CHECK</x:v>
      </x:c>
      <x:c r="K73" t="str">
        <x:v>Not run</x:v>
      </x:c>
      <x:c r="L73" t="str"/>
      <x:c r="M73" t="str"/>
      <x:c r="N73" t="str">
        <x:v>Synthetic case blueprint; materialize using fixed-seed generator</x:v>
      </x:c>
    </x:row>
    <x:row r="74" ht="24" customHeight="1">
      <x:c r="A74" t="str">
        <x:v>SYN-0073</x:v>
      </x:c>
      <x:c r="B74" t="str">
        <x:v>Missing information</x:v>
      </x:c>
      <x:c r="C74" t="str">
        <x:v>Incomplete provenance</x:v>
      </x:c>
      <x:c r="D74" t="n">
        <x:v>17</x:v>
      </x:c>
      <x:c r="E74" t="str">
        <x:v>12–35</x:v>
      </x:c>
      <x:c r="F74" t="str">
        <x:v>Under 3</x:v>
      </x:c>
      <x:c r="G74" t="str">
        <x:v>yes</x:v>
      </x:c>
      <x:c r="H74" t="str">
        <x:v>no</x:v>
      </x:c>
      <x:c r="I74" t="str">
        <x:v>Preserve missingness; apply documented hold/abstention or data-quality rule</x:v>
      </x:c>
      <x:c r="J74" t="str">
        <x:v>ENGINEERING—RULE CHECK</x:v>
      </x:c>
      <x:c r="K74" t="str">
        <x:v>Not run</x:v>
      </x:c>
      <x:c r="L74" t="str"/>
      <x:c r="M74" t="str"/>
      <x:c r="N74" t="str">
        <x:v>Synthetic case blueprint; materialize using fixed-seed generator</x:v>
      </x:c>
    </x:row>
    <x:row r="75" ht="24" customHeight="1">
      <x:c r="A75" t="str">
        <x:v>SYN-0074</x:v>
      </x:c>
      <x:c r="B75" t="str">
        <x:v>Missing information</x:v>
      </x:c>
      <x:c r="C75" t="str">
        <x:v>Missing screening result</x:v>
      </x:c>
      <x:c r="D75" t="n">
        <x:v>30</x:v>
      </x:c>
      <x:c r="E75" t="str">
        <x:v>12–35</x:v>
      </x:c>
      <x:c r="F75" t="str">
        <x:v>Under 3</x:v>
      </x:c>
      <x:c r="G75" t="str">
        <x:v>yes</x:v>
      </x:c>
      <x:c r="H75" t="str">
        <x:v>no</x:v>
      </x:c>
      <x:c r="I75" t="str">
        <x:v>Preserve missingness; apply documented hold/abstention or data-quality rule</x:v>
      </x:c>
      <x:c r="J75" t="str">
        <x:v>ENGINEERING—RULE CHECK</x:v>
      </x:c>
      <x:c r="K75" t="str">
        <x:v>Not run</x:v>
      </x:c>
      <x:c r="L75" t="str"/>
      <x:c r="M75" t="str"/>
      <x:c r="N75" t="str">
        <x:v>Synthetic case blueprint; materialize using fixed-seed generator</x:v>
      </x:c>
    </x:row>
    <x:row r="76" ht="24" customHeight="1">
      <x:c r="A76" t="str">
        <x:v>SYN-0075</x:v>
      </x:c>
      <x:c r="B76" t="str">
        <x:v>Missing information</x:v>
      </x:c>
      <x:c r="C76" t="str">
        <x:v>Unknown optional history</x:v>
      </x:c>
      <x:c r="D76" t="n">
        <x:v>40</x:v>
      </x:c>
      <x:c r="E76" t="str">
        <x:v>36–47</x:v>
      </x:c>
      <x:c r="F76" t="str">
        <x:v>3–5</x:v>
      </x:c>
      <x:c r="G76" t="str">
        <x:v>yes</x:v>
      </x:c>
      <x:c r="H76" t="str">
        <x:v>no</x:v>
      </x:c>
      <x:c r="I76" t="str">
        <x:v>Preserve missingness; apply documented hold/abstention or data-quality rule</x:v>
      </x:c>
      <x:c r="J76" t="str">
        <x:v>ENGINEERING—RULE CHECK</x:v>
      </x:c>
      <x:c r="K76" t="str">
        <x:v>Not run</x:v>
      </x:c>
      <x:c r="L76" t="str"/>
      <x:c r="M76" t="str"/>
      <x:c r="N76" t="str">
        <x:v>Synthetic case blueprint; materialize using fixed-seed generator</x:v>
      </x:c>
    </x:row>
    <x:row r="77" ht="24" customHeight="1">
      <x:c r="A77" t="str">
        <x:v>SYN-0076</x:v>
      </x:c>
      <x:c r="B77" t="str">
        <x:v>Missing information</x:v>
      </x:c>
      <x:c r="C77" t="str">
        <x:v>Absent critical timestamp</x:v>
      </x:c>
      <x:c r="D77" t="n">
        <x:v>54</x:v>
      </x:c>
      <x:c r="E77" t="str">
        <x:v>48–59</x:v>
      </x:c>
      <x:c r="F77" t="str">
        <x:v>3–5</x:v>
      </x:c>
      <x:c r="G77" t="str">
        <x:v>yes</x:v>
      </x:c>
      <x:c r="H77" t="str">
        <x:v>no</x:v>
      </x:c>
      <x:c r="I77" t="str">
        <x:v>Preserve missingness; apply documented hold/abstention or data-quality rule</x:v>
      </x:c>
      <x:c r="J77" t="str">
        <x:v>ENGINEERING—RULE CHECK</x:v>
      </x:c>
      <x:c r="K77" t="str">
        <x:v>Not run</x:v>
      </x:c>
      <x:c r="L77" t="str"/>
      <x:c r="M77" t="str"/>
      <x:c r="N77" t="str">
        <x:v>Synthetic case blueprint; materialize using fixed-seed generator</x:v>
      </x:c>
    </x:row>
    <x:row r="78" ht="24" customHeight="1">
      <x:c r="A78" t="str">
        <x:v>SYN-0077</x:v>
      </x:c>
      <x:c r="B78" t="str">
        <x:v>Missing information</x:v>
      </x:c>
      <x:c r="C78" t="str">
        <x:v>Incomplete provenance</x:v>
      </x:c>
      <x:c r="D78" t="n">
        <x:v>66</x:v>
      </x:c>
      <x:c r="E78" t="str">
        <x:v>60–71</x:v>
      </x:c>
      <x:c r="F78" t="str">
        <x:v>3–5</x:v>
      </x:c>
      <x:c r="G78" t="str">
        <x:v>yes</x:v>
      </x:c>
      <x:c r="H78" t="str">
        <x:v>no</x:v>
      </x:c>
      <x:c r="I78" t="str">
        <x:v>Preserve missingness; apply documented hold/abstention or data-quality rule</x:v>
      </x:c>
      <x:c r="J78" t="str">
        <x:v>ENGINEERING—RULE CHECK</x:v>
      </x:c>
      <x:c r="K78" t="str">
        <x:v>Not run</x:v>
      </x:c>
      <x:c r="L78" t="str"/>
      <x:c r="M78" t="str"/>
      <x:c r="N78" t="str">
        <x:v>Synthetic case blueprint; materialize using fixed-seed generator</x:v>
      </x:c>
    </x:row>
    <x:row r="79" ht="24" customHeight="1">
      <x:c r="A79" t="str">
        <x:v>SYN-0078</x:v>
      </x:c>
      <x:c r="B79" t="str">
        <x:v>Missing information</x:v>
      </x:c>
      <x:c r="C79" t="str">
        <x:v>Missing screening result</x:v>
      </x:c>
      <x:c r="D79" t="n">
        <x:v>1</x:v>
      </x:c>
      <x:c r="E79" t="str">
        <x:v>0–2</x:v>
      </x:c>
      <x:c r="F79" t="str">
        <x:v>Under 3</x:v>
      </x:c>
      <x:c r="G79" t="str">
        <x:v>yes</x:v>
      </x:c>
      <x:c r="H79" t="str">
        <x:v>no</x:v>
      </x:c>
      <x:c r="I79" t="str">
        <x:v>Preserve missingness; apply documented hold/abstention or data-quality rule</x:v>
      </x:c>
      <x:c r="J79" t="str">
        <x:v>ENGINEERING—RULE CHECK</x:v>
      </x:c>
      <x:c r="K79" t="str">
        <x:v>Not run</x:v>
      </x:c>
      <x:c r="L79" t="str"/>
      <x:c r="M79" t="str"/>
      <x:c r="N79" t="str">
        <x:v>Synthetic case blueprint; materialize using fixed-seed generator</x:v>
      </x:c>
    </x:row>
    <x:row r="80" ht="24" customHeight="1">
      <x:c r="A80" t="str">
        <x:v>SYN-0079</x:v>
      </x:c>
      <x:c r="B80" t="str">
        <x:v>Missing information</x:v>
      </x:c>
      <x:c r="C80" t="str">
        <x:v>Unknown optional history</x:v>
      </x:c>
      <x:c r="D80" t="n">
        <x:v>5</x:v>
      </x:c>
      <x:c r="E80" t="str">
        <x:v>3–11</x:v>
      </x:c>
      <x:c r="F80" t="str">
        <x:v>Under 3</x:v>
      </x:c>
      <x:c r="G80" t="str">
        <x:v>yes</x:v>
      </x:c>
      <x:c r="H80" t="str">
        <x:v>no</x:v>
      </x:c>
      <x:c r="I80" t="str">
        <x:v>Preserve missingness; apply documented hold/abstention or data-quality rule</x:v>
      </x:c>
      <x:c r="J80" t="str">
        <x:v>ENGINEERING—RULE CHECK</x:v>
      </x:c>
      <x:c r="K80" t="str">
        <x:v>Not run</x:v>
      </x:c>
      <x:c r="L80" t="str"/>
      <x:c r="M80" t="str"/>
      <x:c r="N80" t="str">
        <x:v>Synthetic case blueprint; materialize using fixed-seed generator</x:v>
      </x:c>
    </x:row>
    <x:row r="81" ht="24" customHeight="1">
      <x:c r="A81" t="str">
        <x:v>SYN-0080</x:v>
      </x:c>
      <x:c r="B81" t="str">
        <x:v>Missing information</x:v>
      </x:c>
      <x:c r="C81" t="str">
        <x:v>Absent critical timestamp</x:v>
      </x:c>
      <x:c r="D81" t="n">
        <x:v>17</x:v>
      </x:c>
      <x:c r="E81" t="str">
        <x:v>12–35</x:v>
      </x:c>
      <x:c r="F81" t="str">
        <x:v>Under 3</x:v>
      </x:c>
      <x:c r="G81" t="str">
        <x:v>yes</x:v>
      </x:c>
      <x:c r="H81" t="str">
        <x:v>no</x:v>
      </x:c>
      <x:c r="I81" t="str">
        <x:v>Preserve missingness; apply documented hold/abstention or data-quality rule</x:v>
      </x:c>
      <x:c r="J81" t="str">
        <x:v>ENGINEERING—RULE CHECK</x:v>
      </x:c>
      <x:c r="K81" t="str">
        <x:v>Not run</x:v>
      </x:c>
      <x:c r="L81" t="str"/>
      <x:c r="M81" t="str"/>
      <x:c r="N81" t="str">
        <x:v>Synthetic case blueprint; materialize using fixed-seed generator</x:v>
      </x:c>
    </x:row>
    <x:row r="82" ht="24" customHeight="1">
      <x:c r="A82" t="str">
        <x:v>SYN-0081</x:v>
      </x:c>
      <x:c r="B82" t="str">
        <x:v>Missing information</x:v>
      </x:c>
      <x:c r="C82" t="str">
        <x:v>Incomplete provenance</x:v>
      </x:c>
      <x:c r="D82" t="n">
        <x:v>30</x:v>
      </x:c>
      <x:c r="E82" t="str">
        <x:v>12–35</x:v>
      </x:c>
      <x:c r="F82" t="str">
        <x:v>Under 3</x:v>
      </x:c>
      <x:c r="G82" t="str">
        <x:v>yes</x:v>
      </x:c>
      <x:c r="H82" t="str">
        <x:v>no</x:v>
      </x:c>
      <x:c r="I82" t="str">
        <x:v>Preserve missingness; apply documented hold/abstention or data-quality rule</x:v>
      </x:c>
      <x:c r="J82" t="str">
        <x:v>ENGINEERING—RULE CHECK</x:v>
      </x:c>
      <x:c r="K82" t="str">
        <x:v>Not run</x:v>
      </x:c>
      <x:c r="L82" t="str"/>
      <x:c r="M82" t="str"/>
      <x:c r="N82" t="str">
        <x:v>Synthetic case blueprint; materialize using fixed-seed generator</x:v>
      </x:c>
    </x:row>
    <x:row r="83" ht="24" customHeight="1">
      <x:c r="A83" t="str">
        <x:v>SYN-0082</x:v>
      </x:c>
      <x:c r="B83" t="str">
        <x:v>Missing information</x:v>
      </x:c>
      <x:c r="C83" t="str">
        <x:v>Missing screening result</x:v>
      </x:c>
      <x:c r="D83" t="n">
        <x:v>40</x:v>
      </x:c>
      <x:c r="E83" t="str">
        <x:v>36–47</x:v>
      </x:c>
      <x:c r="F83" t="str">
        <x:v>3–5</x:v>
      </x:c>
      <x:c r="G83" t="str">
        <x:v>yes</x:v>
      </x:c>
      <x:c r="H83" t="str">
        <x:v>no</x:v>
      </x:c>
      <x:c r="I83" t="str">
        <x:v>Preserve missingness; apply documented hold/abstention or data-quality rule</x:v>
      </x:c>
      <x:c r="J83" t="str">
        <x:v>ENGINEERING—RULE CHECK</x:v>
      </x:c>
      <x:c r="K83" t="str">
        <x:v>Not run</x:v>
      </x:c>
      <x:c r="L83" t="str"/>
      <x:c r="M83" t="str"/>
      <x:c r="N83" t="str">
        <x:v>Synthetic case blueprint; materialize using fixed-seed generator</x:v>
      </x:c>
    </x:row>
    <x:row r="84" ht="24" customHeight="1">
      <x:c r="A84" t="str">
        <x:v>SYN-0083</x:v>
      </x:c>
      <x:c r="B84" t="str">
        <x:v>Missing information</x:v>
      </x:c>
      <x:c r="C84" t="str">
        <x:v>Unknown optional history</x:v>
      </x:c>
      <x:c r="D84" t="n">
        <x:v>54</x:v>
      </x:c>
      <x:c r="E84" t="str">
        <x:v>48–59</x:v>
      </x:c>
      <x:c r="F84" t="str">
        <x:v>3–5</x:v>
      </x:c>
      <x:c r="G84" t="str">
        <x:v>yes</x:v>
      </x:c>
      <x:c r="H84" t="str">
        <x:v>no</x:v>
      </x:c>
      <x:c r="I84" t="str">
        <x:v>Preserve missingness; apply documented hold/abstention or data-quality rule</x:v>
      </x:c>
      <x:c r="J84" t="str">
        <x:v>ENGINEERING—RULE CHECK</x:v>
      </x:c>
      <x:c r="K84" t="str">
        <x:v>Not run</x:v>
      </x:c>
      <x:c r="L84" t="str"/>
      <x:c r="M84" t="str"/>
      <x:c r="N84" t="str">
        <x:v>Synthetic case blueprint; materialize using fixed-seed generator</x:v>
      </x:c>
    </x:row>
    <x:row r="85" ht="24" customHeight="1">
      <x:c r="A85" t="str">
        <x:v>SYN-0084</x:v>
      </x:c>
      <x:c r="B85" t="str">
        <x:v>Missing information</x:v>
      </x:c>
      <x:c r="C85" t="str">
        <x:v>Absent critical timestamp</x:v>
      </x:c>
      <x:c r="D85" t="n">
        <x:v>66</x:v>
      </x:c>
      <x:c r="E85" t="str">
        <x:v>60–71</x:v>
      </x:c>
      <x:c r="F85" t="str">
        <x:v>3–5</x:v>
      </x:c>
      <x:c r="G85" t="str">
        <x:v>yes</x:v>
      </x:c>
      <x:c r="H85" t="str">
        <x:v>no</x:v>
      </x:c>
      <x:c r="I85" t="str">
        <x:v>Preserve missingness; apply documented hold/abstention or data-quality rule</x:v>
      </x:c>
      <x:c r="J85" t="str">
        <x:v>ENGINEERING—RULE CHECK</x:v>
      </x:c>
      <x:c r="K85" t="str">
        <x:v>Not run</x:v>
      </x:c>
      <x:c r="L85" t="str"/>
      <x:c r="M85" t="str"/>
      <x:c r="N85" t="str">
        <x:v>Synthetic case blueprint; materialize using fixed-seed generator</x:v>
      </x:c>
    </x:row>
    <x:row r="86" ht="24" customHeight="1">
      <x:c r="A86" t="str">
        <x:v>SYN-0085</x:v>
      </x:c>
      <x:c r="B86" t="str">
        <x:v>Missing information</x:v>
      </x:c>
      <x:c r="C86" t="str">
        <x:v>Incomplete provenance</x:v>
      </x:c>
      <x:c r="D86" t="n">
        <x:v>1</x:v>
      </x:c>
      <x:c r="E86" t="str">
        <x:v>0–2</x:v>
      </x:c>
      <x:c r="F86" t="str">
        <x:v>Under 3</x:v>
      </x:c>
      <x:c r="G86" t="str">
        <x:v>yes</x:v>
      </x:c>
      <x:c r="H86" t="str">
        <x:v>no</x:v>
      </x:c>
      <x:c r="I86" t="str">
        <x:v>Preserve missingness; apply documented hold/abstention or data-quality rule</x:v>
      </x:c>
      <x:c r="J86" t="str">
        <x:v>ENGINEERING—RULE CHECK</x:v>
      </x:c>
      <x:c r="K86" t="str">
        <x:v>Not run</x:v>
      </x:c>
      <x:c r="L86" t="str"/>
      <x:c r="M86" t="str"/>
      <x:c r="N86" t="str">
        <x:v>Synthetic case blueprint; materialize using fixed-seed generator</x:v>
      </x:c>
    </x:row>
    <x:row r="87" ht="24" customHeight="1">
      <x:c r="A87" t="str">
        <x:v>SYN-0086</x:v>
      </x:c>
      <x:c r="B87" t="str">
        <x:v>Missing information</x:v>
      </x:c>
      <x:c r="C87" t="str">
        <x:v>Missing screening result</x:v>
      </x:c>
      <x:c r="D87" t="n">
        <x:v>5</x:v>
      </x:c>
      <x:c r="E87" t="str">
        <x:v>3–11</x:v>
      </x:c>
      <x:c r="F87" t="str">
        <x:v>Under 3</x:v>
      </x:c>
      <x:c r="G87" t="str">
        <x:v>yes</x:v>
      </x:c>
      <x:c r="H87" t="str">
        <x:v>no</x:v>
      </x:c>
      <x:c r="I87" t="str">
        <x:v>Preserve missingness; apply documented hold/abstention or data-quality rule</x:v>
      </x:c>
      <x:c r="J87" t="str">
        <x:v>ENGINEERING—RULE CHECK</x:v>
      </x:c>
      <x:c r="K87" t="str">
        <x:v>Not run</x:v>
      </x:c>
      <x:c r="L87" t="str"/>
      <x:c r="M87" t="str"/>
      <x:c r="N87" t="str">
        <x:v>Synthetic case blueprint; materialize using fixed-seed generator</x:v>
      </x:c>
    </x:row>
    <x:row r="88" ht="24" customHeight="1">
      <x:c r="A88" t="str">
        <x:v>SYN-0087</x:v>
      </x:c>
      <x:c r="B88" t="str">
        <x:v>Missing information</x:v>
      </x:c>
      <x:c r="C88" t="str">
        <x:v>Unknown optional history</x:v>
      </x:c>
      <x:c r="D88" t="n">
        <x:v>17</x:v>
      </x:c>
      <x:c r="E88" t="str">
        <x:v>12–35</x:v>
      </x:c>
      <x:c r="F88" t="str">
        <x:v>Under 3</x:v>
      </x:c>
      <x:c r="G88" t="str">
        <x:v>yes</x:v>
      </x:c>
      <x:c r="H88" t="str">
        <x:v>no</x:v>
      </x:c>
      <x:c r="I88" t="str">
        <x:v>Preserve missingness; apply documented hold/abstention or data-quality rule</x:v>
      </x:c>
      <x:c r="J88" t="str">
        <x:v>ENGINEERING—RULE CHECK</x:v>
      </x:c>
      <x:c r="K88" t="str">
        <x:v>Not run</x:v>
      </x:c>
      <x:c r="L88" t="str"/>
      <x:c r="M88" t="str"/>
      <x:c r="N88" t="str">
        <x:v>Synthetic case blueprint; materialize using fixed-seed generator</x:v>
      </x:c>
    </x:row>
    <x:row r="89" ht="24" customHeight="1">
      <x:c r="A89" t="str">
        <x:v>SYN-0088</x:v>
      </x:c>
      <x:c r="B89" t="str">
        <x:v>Missing information</x:v>
      </x:c>
      <x:c r="C89" t="str">
        <x:v>Absent critical timestamp</x:v>
      </x:c>
      <x:c r="D89" t="n">
        <x:v>30</x:v>
      </x:c>
      <x:c r="E89" t="str">
        <x:v>12–35</x:v>
      </x:c>
      <x:c r="F89" t="str">
        <x:v>Under 3</x:v>
      </x:c>
      <x:c r="G89" t="str">
        <x:v>yes</x:v>
      </x:c>
      <x:c r="H89" t="str">
        <x:v>no</x:v>
      </x:c>
      <x:c r="I89" t="str">
        <x:v>Preserve missingness; apply documented hold/abstention or data-quality rule</x:v>
      </x:c>
      <x:c r="J89" t="str">
        <x:v>ENGINEERING—RULE CHECK</x:v>
      </x:c>
      <x:c r="K89" t="str">
        <x:v>Not run</x:v>
      </x:c>
      <x:c r="L89" t="str"/>
      <x:c r="M89" t="str"/>
      <x:c r="N89" t="str">
        <x:v>Synthetic case blueprint; materialize using fixed-seed generator</x:v>
      </x:c>
    </x:row>
    <x:row r="90" ht="24" customHeight="1">
      <x:c r="A90" t="str">
        <x:v>SYN-0089</x:v>
      </x:c>
      <x:c r="B90" t="str">
        <x:v>Missing information</x:v>
      </x:c>
      <x:c r="C90" t="str">
        <x:v>Incomplete provenance</x:v>
      </x:c>
      <x:c r="D90" t="n">
        <x:v>40</x:v>
      </x:c>
      <x:c r="E90" t="str">
        <x:v>36–47</x:v>
      </x:c>
      <x:c r="F90" t="str">
        <x:v>3–5</x:v>
      </x:c>
      <x:c r="G90" t="str">
        <x:v>yes</x:v>
      </x:c>
      <x:c r="H90" t="str">
        <x:v>no</x:v>
      </x:c>
      <x:c r="I90" t="str">
        <x:v>Preserve missingness; apply documented hold/abstention or data-quality rule</x:v>
      </x:c>
      <x:c r="J90" t="str">
        <x:v>ENGINEERING—RULE CHECK</x:v>
      </x:c>
      <x:c r="K90" t="str">
        <x:v>Not run</x:v>
      </x:c>
      <x:c r="L90" t="str"/>
      <x:c r="M90" t="str"/>
      <x:c r="N90" t="str">
        <x:v>Synthetic case blueprint; materialize using fixed-seed generator</x:v>
      </x:c>
    </x:row>
    <x:row r="91" ht="24" customHeight="1">
      <x:c r="A91" t="str">
        <x:v>SYN-0090</x:v>
      </x:c>
      <x:c r="B91" t="str">
        <x:v>Missing information</x:v>
      </x:c>
      <x:c r="C91" t="str">
        <x:v>Missing screening result</x:v>
      </x:c>
      <x:c r="D91" t="n">
        <x:v>54</x:v>
      </x:c>
      <x:c r="E91" t="str">
        <x:v>48–59</x:v>
      </x:c>
      <x:c r="F91" t="str">
        <x:v>3–5</x:v>
      </x:c>
      <x:c r="G91" t="str">
        <x:v>yes</x:v>
      </x:c>
      <x:c r="H91" t="str">
        <x:v>no</x:v>
      </x:c>
      <x:c r="I91" t="str">
        <x:v>Preserve missingness; apply documented hold/abstention or data-quality rule</x:v>
      </x:c>
      <x:c r="J91" t="str">
        <x:v>ENGINEERING—RULE CHECK</x:v>
      </x:c>
      <x:c r="K91" t="str">
        <x:v>Not run</x:v>
      </x:c>
      <x:c r="L91" t="str"/>
      <x:c r="M91" t="str"/>
      <x:c r="N91" t="str">
        <x:v>Synthetic case blueprint; materialize using fixed-seed generator</x:v>
      </x:c>
    </x:row>
    <x:row r="92" ht="24" customHeight="1">
      <x:c r="A92" t="str">
        <x:v>SYN-0091</x:v>
      </x:c>
      <x:c r="B92" t="str">
        <x:v>Missing information</x:v>
      </x:c>
      <x:c r="C92" t="str">
        <x:v>Unknown optional history</x:v>
      </x:c>
      <x:c r="D92" t="n">
        <x:v>66</x:v>
      </x:c>
      <x:c r="E92" t="str">
        <x:v>60–71</x:v>
      </x:c>
      <x:c r="F92" t="str">
        <x:v>3–5</x:v>
      </x:c>
      <x:c r="G92" t="str">
        <x:v>yes</x:v>
      </x:c>
      <x:c r="H92" t="str">
        <x:v>no</x:v>
      </x:c>
      <x:c r="I92" t="str">
        <x:v>Preserve missingness; apply documented hold/abstention or data-quality rule</x:v>
      </x:c>
      <x:c r="J92" t="str">
        <x:v>ENGINEERING—RULE CHECK</x:v>
      </x:c>
      <x:c r="K92" t="str">
        <x:v>Not run</x:v>
      </x:c>
      <x:c r="L92" t="str"/>
      <x:c r="M92" t="str"/>
      <x:c r="N92" t="str">
        <x:v>Synthetic case blueprint; materialize using fixed-seed generator</x:v>
      </x:c>
    </x:row>
    <x:row r="93" ht="24" customHeight="1">
      <x:c r="A93" t="str">
        <x:v>SYN-0092</x:v>
      </x:c>
      <x:c r="B93" t="str">
        <x:v>Missing information</x:v>
      </x:c>
      <x:c r="C93" t="str">
        <x:v>Absent critical timestamp</x:v>
      </x:c>
      <x:c r="D93" t="n">
        <x:v>1</x:v>
      </x:c>
      <x:c r="E93" t="str">
        <x:v>0–2</x:v>
      </x:c>
      <x:c r="F93" t="str">
        <x:v>Under 3</x:v>
      </x:c>
      <x:c r="G93" t="str">
        <x:v>yes</x:v>
      </x:c>
      <x:c r="H93" t="str">
        <x:v>no</x:v>
      </x:c>
      <x:c r="I93" t="str">
        <x:v>Preserve missingness; apply documented hold/abstention or data-quality rule</x:v>
      </x:c>
      <x:c r="J93" t="str">
        <x:v>ENGINEERING—RULE CHECK</x:v>
      </x:c>
      <x:c r="K93" t="str">
        <x:v>Not run</x:v>
      </x:c>
      <x:c r="L93" t="str"/>
      <x:c r="M93" t="str"/>
      <x:c r="N93" t="str">
        <x:v>Synthetic case blueprint; materialize using fixed-seed generator</x:v>
      </x:c>
    </x:row>
    <x:row r="94" ht="24" customHeight="1">
      <x:c r="A94" t="str">
        <x:v>SYN-0093</x:v>
      </x:c>
      <x:c r="B94" t="str">
        <x:v>Missing information</x:v>
      </x:c>
      <x:c r="C94" t="str">
        <x:v>Incomplete provenance</x:v>
      </x:c>
      <x:c r="D94" t="n">
        <x:v>5</x:v>
      </x:c>
      <x:c r="E94" t="str">
        <x:v>3–11</x:v>
      </x:c>
      <x:c r="F94" t="str">
        <x:v>Under 3</x:v>
      </x:c>
      <x:c r="G94" t="str">
        <x:v>yes</x:v>
      </x:c>
      <x:c r="H94" t="str">
        <x:v>no</x:v>
      </x:c>
      <x:c r="I94" t="str">
        <x:v>Preserve missingness; apply documented hold/abstention or data-quality rule</x:v>
      </x:c>
      <x:c r="J94" t="str">
        <x:v>ENGINEERING—RULE CHECK</x:v>
      </x:c>
      <x:c r="K94" t="str">
        <x:v>Not run</x:v>
      </x:c>
      <x:c r="L94" t="str"/>
      <x:c r="M94" t="str"/>
      <x:c r="N94" t="str">
        <x:v>Synthetic case blueprint; materialize using fixed-seed generator</x:v>
      </x:c>
    </x:row>
    <x:row r="95" ht="24" customHeight="1">
      <x:c r="A95" t="str">
        <x:v>SYN-0094</x:v>
      </x:c>
      <x:c r="B95" t="str">
        <x:v>Missing information</x:v>
      </x:c>
      <x:c r="C95" t="str">
        <x:v>Missing screening result</x:v>
      </x:c>
      <x:c r="D95" t="n">
        <x:v>17</x:v>
      </x:c>
      <x:c r="E95" t="str">
        <x:v>12–35</x:v>
      </x:c>
      <x:c r="F95" t="str">
        <x:v>Under 3</x:v>
      </x:c>
      <x:c r="G95" t="str">
        <x:v>yes</x:v>
      </x:c>
      <x:c r="H95" t="str">
        <x:v>no</x:v>
      </x:c>
      <x:c r="I95" t="str">
        <x:v>Preserve missingness; apply documented hold/abstention or data-quality rule</x:v>
      </x:c>
      <x:c r="J95" t="str">
        <x:v>ENGINEERING—RULE CHECK</x:v>
      </x:c>
      <x:c r="K95" t="str">
        <x:v>Not run</x:v>
      </x:c>
      <x:c r="L95" t="str"/>
      <x:c r="M95" t="str"/>
      <x:c r="N95" t="str">
        <x:v>Synthetic case blueprint; materialize using fixed-seed generator</x:v>
      </x:c>
    </x:row>
    <x:row r="96" ht="24" customHeight="1">
      <x:c r="A96" t="str">
        <x:v>SYN-0095</x:v>
      </x:c>
      <x:c r="B96" t="str">
        <x:v>Missing information</x:v>
      </x:c>
      <x:c r="C96" t="str">
        <x:v>Unknown optional history</x:v>
      </x:c>
      <x:c r="D96" t="n">
        <x:v>30</x:v>
      </x:c>
      <x:c r="E96" t="str">
        <x:v>12–35</x:v>
      </x:c>
      <x:c r="F96" t="str">
        <x:v>Under 3</x:v>
      </x:c>
      <x:c r="G96" t="str">
        <x:v>yes</x:v>
      </x:c>
      <x:c r="H96" t="str">
        <x:v>no</x:v>
      </x:c>
      <x:c r="I96" t="str">
        <x:v>Preserve missingness; apply documented hold/abstention or data-quality rule</x:v>
      </x:c>
      <x:c r="J96" t="str">
        <x:v>ENGINEERING—RULE CHECK</x:v>
      </x:c>
      <x:c r="K96" t="str">
        <x:v>Not run</x:v>
      </x:c>
      <x:c r="L96" t="str"/>
      <x:c r="M96" t="str"/>
      <x:c r="N96" t="str">
        <x:v>Synthetic case blueprint; materialize using fixed-seed generator</x:v>
      </x:c>
    </x:row>
    <x:row r="97" ht="24" customHeight="1">
      <x:c r="A97" t="str">
        <x:v>SYN-0096</x:v>
      </x:c>
      <x:c r="B97" t="str">
        <x:v>Missing information</x:v>
      </x:c>
      <x:c r="C97" t="str">
        <x:v>Absent critical timestamp</x:v>
      </x:c>
      <x:c r="D97" t="n">
        <x:v>40</x:v>
      </x:c>
      <x:c r="E97" t="str">
        <x:v>36–47</x:v>
      </x:c>
      <x:c r="F97" t="str">
        <x:v>3–5</x:v>
      </x:c>
      <x:c r="G97" t="str">
        <x:v>yes</x:v>
      </x:c>
      <x:c r="H97" t="str">
        <x:v>no</x:v>
      </x:c>
      <x:c r="I97" t="str">
        <x:v>Preserve missingness; apply documented hold/abstention or data-quality rule</x:v>
      </x:c>
      <x:c r="J97" t="str">
        <x:v>ENGINEERING—RULE CHECK</x:v>
      </x:c>
      <x:c r="K97" t="str">
        <x:v>Not run</x:v>
      </x:c>
      <x:c r="L97" t="str"/>
      <x:c r="M97" t="str"/>
      <x:c r="N97" t="str">
        <x:v>Synthetic case blueprint; materialize using fixed-seed generator</x:v>
      </x:c>
    </x:row>
    <x:row r="98" ht="24" customHeight="1">
      <x:c r="A98" t="str">
        <x:v>SYN-0097</x:v>
      </x:c>
      <x:c r="B98" t="str">
        <x:v>Missing information</x:v>
      </x:c>
      <x:c r="C98" t="str">
        <x:v>Incomplete provenance</x:v>
      </x:c>
      <x:c r="D98" t="n">
        <x:v>54</x:v>
      </x:c>
      <x:c r="E98" t="str">
        <x:v>48–59</x:v>
      </x:c>
      <x:c r="F98" t="str">
        <x:v>3–5</x:v>
      </x:c>
      <x:c r="G98" t="str">
        <x:v>yes</x:v>
      </x:c>
      <x:c r="H98" t="str">
        <x:v>no</x:v>
      </x:c>
      <x:c r="I98" t="str">
        <x:v>Preserve missingness; apply documented hold/abstention or data-quality rule</x:v>
      </x:c>
      <x:c r="J98" t="str">
        <x:v>ENGINEERING—RULE CHECK</x:v>
      </x:c>
      <x:c r="K98" t="str">
        <x:v>Not run</x:v>
      </x:c>
      <x:c r="L98" t="str"/>
      <x:c r="M98" t="str"/>
      <x:c r="N98" t="str">
        <x:v>Synthetic case blueprint; materialize using fixed-seed generator</x:v>
      </x:c>
    </x:row>
    <x:row r="99" ht="24" customHeight="1">
      <x:c r="A99" t="str">
        <x:v>SYN-0098</x:v>
      </x:c>
      <x:c r="B99" t="str">
        <x:v>Missing information</x:v>
      </x:c>
      <x:c r="C99" t="str">
        <x:v>Missing screening result</x:v>
      </x:c>
      <x:c r="D99" t="n">
        <x:v>66</x:v>
      </x:c>
      <x:c r="E99" t="str">
        <x:v>60–71</x:v>
      </x:c>
      <x:c r="F99" t="str">
        <x:v>3–5</x:v>
      </x:c>
      <x:c r="G99" t="str">
        <x:v>yes</x:v>
      </x:c>
      <x:c r="H99" t="str">
        <x:v>no</x:v>
      </x:c>
      <x:c r="I99" t="str">
        <x:v>Preserve missingness; apply documented hold/abstention or data-quality rule</x:v>
      </x:c>
      <x:c r="J99" t="str">
        <x:v>ENGINEERING—RULE CHECK</x:v>
      </x:c>
      <x:c r="K99" t="str">
        <x:v>Not run</x:v>
      </x:c>
      <x:c r="L99" t="str"/>
      <x:c r="M99" t="str"/>
      <x:c r="N99" t="str">
        <x:v>Synthetic case blueprint; materialize using fixed-seed generator</x:v>
      </x:c>
    </x:row>
    <x:row r="100" ht="24" customHeight="1">
      <x:c r="A100" t="str">
        <x:v>SYN-0099</x:v>
      </x:c>
      <x:c r="B100" t="str">
        <x:v>Missing information</x:v>
      </x:c>
      <x:c r="C100" t="str">
        <x:v>Unknown optional history</x:v>
      </x:c>
      <x:c r="D100" t="n">
        <x:v>1</x:v>
      </x:c>
      <x:c r="E100" t="str">
        <x:v>0–2</x:v>
      </x:c>
      <x:c r="F100" t="str">
        <x:v>Under 3</x:v>
      </x:c>
      <x:c r="G100" t="str">
        <x:v>yes</x:v>
      </x:c>
      <x:c r="H100" t="str">
        <x:v>no</x:v>
      </x:c>
      <x:c r="I100" t="str">
        <x:v>Preserve missingness; apply documented hold/abstention or data-quality rule</x:v>
      </x:c>
      <x:c r="J100" t="str">
        <x:v>ENGINEERING—RULE CHECK</x:v>
      </x:c>
      <x:c r="K100" t="str">
        <x:v>Not run</x:v>
      </x:c>
      <x:c r="L100" t="str"/>
      <x:c r="M100" t="str"/>
      <x:c r="N100" t="str">
        <x:v>Synthetic case blueprint; materialize using fixed-seed generator</x:v>
      </x:c>
    </x:row>
    <x:row r="101" ht="24" customHeight="1">
      <x:c r="A101" t="str">
        <x:v>SYN-0100</x:v>
      </x:c>
      <x:c r="B101" t="str">
        <x:v>Missing information</x:v>
      </x:c>
      <x:c r="C101" t="str">
        <x:v>Absent critical timestamp</x:v>
      </x:c>
      <x:c r="D101" t="n">
        <x:v>5</x:v>
      </x:c>
      <x:c r="E101" t="str">
        <x:v>3–11</x:v>
      </x:c>
      <x:c r="F101" t="str">
        <x:v>Under 3</x:v>
      </x:c>
      <x:c r="G101" t="str">
        <x:v>yes</x:v>
      </x:c>
      <x:c r="H101" t="str">
        <x:v>no</x:v>
      </x:c>
      <x:c r="I101" t="str">
        <x:v>Preserve missingness; apply documented hold/abstention or data-quality rule</x:v>
      </x:c>
      <x:c r="J101" t="str">
        <x:v>ENGINEERING—RULE CHECK</x:v>
      </x:c>
      <x:c r="K101" t="str">
        <x:v>Not run</x:v>
      </x:c>
      <x:c r="L101" t="str"/>
      <x:c r="M101" t="str"/>
      <x:c r="N101" t="str">
        <x:v>Synthetic case blueprint; materialize using fixed-seed generator</x:v>
      </x:c>
    </x:row>
    <x:row r="102" ht="24" customHeight="1">
      <x:c r="A102" t="str">
        <x:v>SYN-0101</x:v>
      </x:c>
      <x:c r="B102" t="str">
        <x:v>Conflicting information</x:v>
      </x:c>
      <x:c r="C102" t="str">
        <x:v>Conflicting source assertions</x:v>
      </x:c>
      <x:c r="D102" t="n">
        <x:v>17</x:v>
      </x:c>
      <x:c r="E102" t="str">
        <x:v>12–35</x:v>
      </x:c>
      <x:c r="F102" t="str">
        <x:v>Under 3</x:v>
      </x:c>
      <x:c r="G102" t="str">
        <x:v>no</x:v>
      </x:c>
      <x:c r="H102" t="str">
        <x:v>yes</x:v>
      </x:c>
      <x:c r="I102" t="str">
        <x:v>Flag conflict + trace contributors; no silent resolution</x:v>
      </x:c>
      <x:c r="J102" t="str">
        <x:v>ENGINEERING—RULE CHECK</x:v>
      </x:c>
      <x:c r="K102" t="str">
        <x:v>Not run</x:v>
      </x:c>
      <x:c r="L102" t="str"/>
      <x:c r="M102" t="str"/>
      <x:c r="N102" t="str">
        <x:v>Synthetic case blueprint; materialize using fixed-seed generator</x:v>
      </x:c>
    </x:row>
    <x:row r="103" ht="24" customHeight="1">
      <x:c r="A103" t="str">
        <x:v>SYN-0102</x:v>
      </x:c>
      <x:c r="B103" t="str">
        <x:v>Conflicting information</x:v>
      </x:c>
      <x:c r="C103" t="str">
        <x:v>Invalid value or mismatch</x:v>
      </x:c>
      <x:c r="D103" t="n">
        <x:v>30</x:v>
      </x:c>
      <x:c r="E103" t="str">
        <x:v>12–35</x:v>
      </x:c>
      <x:c r="F103" t="str">
        <x:v>Under 3</x:v>
      </x:c>
      <x:c r="G103" t="str">
        <x:v>no</x:v>
      </x:c>
      <x:c r="H103" t="str">
        <x:v>yes</x:v>
      </x:c>
      <x:c r="I103" t="str">
        <x:v>Flag conflict + trace contributors; no silent resolution</x:v>
      </x:c>
      <x:c r="J103" t="str">
        <x:v>ENGINEERING—RULE CHECK</x:v>
      </x:c>
      <x:c r="K103" t="str">
        <x:v>Not run</x:v>
      </x:c>
      <x:c r="L103" t="str"/>
      <x:c r="M103" t="str"/>
      <x:c r="N103" t="str">
        <x:v>Synthetic case blueprint; materialize using fixed-seed generator</x:v>
      </x:c>
    </x:row>
    <x:row r="104" ht="24" customHeight="1">
      <x:c r="A104" t="str">
        <x:v>SYN-0103</x:v>
      </x:c>
      <x:c r="B104" t="str">
        <x:v>Conflicting information</x:v>
      </x:c>
      <x:c r="C104" t="str">
        <x:v>Repeated conflicting observations</x:v>
      </x:c>
      <x:c r="D104" t="n">
        <x:v>40</x:v>
      </x:c>
      <x:c r="E104" t="str">
        <x:v>36–47</x:v>
      </x:c>
      <x:c r="F104" t="str">
        <x:v>3–5</x:v>
      </x:c>
      <x:c r="G104" t="str">
        <x:v>no</x:v>
      </x:c>
      <x:c r="H104" t="str">
        <x:v>yes</x:v>
      </x:c>
      <x:c r="I104" t="str">
        <x:v>Flag conflict + trace contributors; no silent resolution</x:v>
      </x:c>
      <x:c r="J104" t="str">
        <x:v>ENGINEERING—RULE CHECK</x:v>
      </x:c>
      <x:c r="K104" t="str">
        <x:v>Not run</x:v>
      </x:c>
      <x:c r="L104" t="str"/>
      <x:c r="M104" t="str"/>
      <x:c r="N104" t="str">
        <x:v>Synthetic case blueprint; materialize using fixed-seed generator</x:v>
      </x:c>
    </x:row>
    <x:row r="105" ht="24" customHeight="1">
      <x:c r="A105" t="str">
        <x:v>SYN-0104</x:v>
      </x:c>
      <x:c r="B105" t="str">
        <x:v>Conflicting information</x:v>
      </x:c>
      <x:c r="C105" t="str">
        <x:v>Age disagreement</x:v>
      </x:c>
      <x:c r="D105" t="n">
        <x:v>54</x:v>
      </x:c>
      <x:c r="E105" t="str">
        <x:v>48–59</x:v>
      </x:c>
      <x:c r="F105" t="str">
        <x:v>3–5</x:v>
      </x:c>
      <x:c r="G105" t="str">
        <x:v>no</x:v>
      </x:c>
      <x:c r="H105" t="str">
        <x:v>yes</x:v>
      </x:c>
      <x:c r="I105" t="str">
        <x:v>Flag conflict + trace contributors; no silent resolution</x:v>
      </x:c>
      <x:c r="J105" t="str">
        <x:v>ENGINEERING—RULE CHECK</x:v>
      </x:c>
      <x:c r="K105" t="str">
        <x:v>Not run</x:v>
      </x:c>
      <x:c r="L105" t="str"/>
      <x:c r="M105" t="str"/>
      <x:c r="N105" t="str">
        <x:v>Synthetic case blueprint; materialize using fixed-seed generator</x:v>
      </x:c>
    </x:row>
    <x:row r="106" ht="24" customHeight="1">
      <x:c r="A106" t="str">
        <x:v>SYN-0105</x:v>
      </x:c>
      <x:c r="B106" t="str">
        <x:v>Conflicting information</x:v>
      </x:c>
      <x:c r="C106" t="str">
        <x:v>Versioning mismatch</x:v>
      </x:c>
      <x:c r="D106" t="n">
        <x:v>66</x:v>
      </x:c>
      <x:c r="E106" t="str">
        <x:v>60–71</x:v>
      </x:c>
      <x:c r="F106" t="str">
        <x:v>3–5</x:v>
      </x:c>
      <x:c r="G106" t="str">
        <x:v>no</x:v>
      </x:c>
      <x:c r="H106" t="str">
        <x:v>yes</x:v>
      </x:c>
      <x:c r="I106" t="str">
        <x:v>Flag conflict + trace contributors; no silent resolution</x:v>
      </x:c>
      <x:c r="J106" t="str">
        <x:v>ENGINEERING—RULE CHECK</x:v>
      </x:c>
      <x:c r="K106" t="str">
        <x:v>Not run</x:v>
      </x:c>
      <x:c r="L106" t="str"/>
      <x:c r="M106" t="str"/>
      <x:c r="N106" t="str">
        <x:v>Synthetic case blueprint; materialize using fixed-seed generator</x:v>
      </x:c>
    </x:row>
    <x:row r="107" ht="24" customHeight="1">
      <x:c r="A107" t="str">
        <x:v>SYN-0106</x:v>
      </x:c>
      <x:c r="B107" t="str">
        <x:v>Conflicting information</x:v>
      </x:c>
      <x:c r="C107" t="str">
        <x:v>Conflicting source assertions</x:v>
      </x:c>
      <x:c r="D107" t="n">
        <x:v>1</x:v>
      </x:c>
      <x:c r="E107" t="str">
        <x:v>0–2</x:v>
      </x:c>
      <x:c r="F107" t="str">
        <x:v>Under 3</x:v>
      </x:c>
      <x:c r="G107" t="str">
        <x:v>no</x:v>
      </x:c>
      <x:c r="H107" t="str">
        <x:v>yes</x:v>
      </x:c>
      <x:c r="I107" t="str">
        <x:v>Flag conflict + trace contributors; no silent resolution</x:v>
      </x:c>
      <x:c r="J107" t="str">
        <x:v>ENGINEERING—RULE CHECK</x:v>
      </x:c>
      <x:c r="K107" t="str">
        <x:v>Not run</x:v>
      </x:c>
      <x:c r="L107" t="str"/>
      <x:c r="M107" t="str"/>
      <x:c r="N107" t="str">
        <x:v>Synthetic case blueprint; materialize using fixed-seed generator</x:v>
      </x:c>
    </x:row>
    <x:row r="108" ht="24" customHeight="1">
      <x:c r="A108" t="str">
        <x:v>SYN-0107</x:v>
      </x:c>
      <x:c r="B108" t="str">
        <x:v>Conflicting information</x:v>
      </x:c>
      <x:c r="C108" t="str">
        <x:v>Invalid value or mismatch</x:v>
      </x:c>
      <x:c r="D108" t="n">
        <x:v>5</x:v>
      </x:c>
      <x:c r="E108" t="str">
        <x:v>3–11</x:v>
      </x:c>
      <x:c r="F108" t="str">
        <x:v>Under 3</x:v>
      </x:c>
      <x:c r="G108" t="str">
        <x:v>no</x:v>
      </x:c>
      <x:c r="H108" t="str">
        <x:v>yes</x:v>
      </x:c>
      <x:c r="I108" t="str">
        <x:v>Flag conflict + trace contributors; no silent resolution</x:v>
      </x:c>
      <x:c r="J108" t="str">
        <x:v>ENGINEERING—RULE CHECK</x:v>
      </x:c>
      <x:c r="K108" t="str">
        <x:v>Not run</x:v>
      </x:c>
      <x:c r="L108" t="str"/>
      <x:c r="M108" t="str"/>
      <x:c r="N108" t="str">
        <x:v>Synthetic case blueprint; materialize using fixed-seed generator</x:v>
      </x:c>
    </x:row>
    <x:row r="109" ht="24" customHeight="1">
      <x:c r="A109" t="str">
        <x:v>SYN-0108</x:v>
      </x:c>
      <x:c r="B109" t="str">
        <x:v>Conflicting information</x:v>
      </x:c>
      <x:c r="C109" t="str">
        <x:v>Repeated conflicting observations</x:v>
      </x:c>
      <x:c r="D109" t="n">
        <x:v>17</x:v>
      </x:c>
      <x:c r="E109" t="str">
        <x:v>12–35</x:v>
      </x:c>
      <x:c r="F109" t="str">
        <x:v>Under 3</x:v>
      </x:c>
      <x:c r="G109" t="str">
        <x:v>no</x:v>
      </x:c>
      <x:c r="H109" t="str">
        <x:v>yes</x:v>
      </x:c>
      <x:c r="I109" t="str">
        <x:v>Flag conflict + trace contributors; no silent resolution</x:v>
      </x:c>
      <x:c r="J109" t="str">
        <x:v>ENGINEERING—RULE CHECK</x:v>
      </x:c>
      <x:c r="K109" t="str">
        <x:v>Not run</x:v>
      </x:c>
      <x:c r="L109" t="str"/>
      <x:c r="M109" t="str"/>
      <x:c r="N109" t="str">
        <x:v>Synthetic case blueprint; materialize using fixed-seed generator</x:v>
      </x:c>
    </x:row>
    <x:row r="110" ht="24" customHeight="1">
      <x:c r="A110" t="str">
        <x:v>SYN-0109</x:v>
      </x:c>
      <x:c r="B110" t="str">
        <x:v>Conflicting information</x:v>
      </x:c>
      <x:c r="C110" t="str">
        <x:v>Age disagreement</x:v>
      </x:c>
      <x:c r="D110" t="n">
        <x:v>30</x:v>
      </x:c>
      <x:c r="E110" t="str">
        <x:v>12–35</x:v>
      </x:c>
      <x:c r="F110" t="str">
        <x:v>Under 3</x:v>
      </x:c>
      <x:c r="G110" t="str">
        <x:v>no</x:v>
      </x:c>
      <x:c r="H110" t="str">
        <x:v>yes</x:v>
      </x:c>
      <x:c r="I110" t="str">
        <x:v>Flag conflict + trace contributors; no silent resolution</x:v>
      </x:c>
      <x:c r="J110" t="str">
        <x:v>ENGINEERING—RULE CHECK</x:v>
      </x:c>
      <x:c r="K110" t="str">
        <x:v>Not run</x:v>
      </x:c>
      <x:c r="L110" t="str"/>
      <x:c r="M110" t="str"/>
      <x:c r="N110" t="str">
        <x:v>Synthetic case blueprint; materialize using fixed-seed generator</x:v>
      </x:c>
    </x:row>
    <x:row r="111" ht="24" customHeight="1">
      <x:c r="A111" t="str">
        <x:v>SYN-0110</x:v>
      </x:c>
      <x:c r="B111" t="str">
        <x:v>Conflicting information</x:v>
      </x:c>
      <x:c r="C111" t="str">
        <x:v>Versioning mismatch</x:v>
      </x:c>
      <x:c r="D111" t="n">
        <x:v>40</x:v>
      </x:c>
      <x:c r="E111" t="str">
        <x:v>36–47</x:v>
      </x:c>
      <x:c r="F111" t="str">
        <x:v>3–5</x:v>
      </x:c>
      <x:c r="G111" t="str">
        <x:v>no</x:v>
      </x:c>
      <x:c r="H111" t="str">
        <x:v>yes</x:v>
      </x:c>
      <x:c r="I111" t="str">
        <x:v>Flag conflict + trace contributors; no silent resolution</x:v>
      </x:c>
      <x:c r="J111" t="str">
        <x:v>ENGINEERING—RULE CHECK</x:v>
      </x:c>
      <x:c r="K111" t="str">
        <x:v>Not run</x:v>
      </x:c>
      <x:c r="L111" t="str"/>
      <x:c r="M111" t="str"/>
      <x:c r="N111" t="str">
        <x:v>Synthetic case blueprint; materialize using fixed-seed generator</x:v>
      </x:c>
    </x:row>
    <x:row r="112" ht="24" customHeight="1">
      <x:c r="A112" t="str">
        <x:v>SYN-0111</x:v>
      </x:c>
      <x:c r="B112" t="str">
        <x:v>Conflicting information</x:v>
      </x:c>
      <x:c r="C112" t="str">
        <x:v>Conflicting source assertions</x:v>
      </x:c>
      <x:c r="D112" t="n">
        <x:v>54</x:v>
      </x:c>
      <x:c r="E112" t="str">
        <x:v>48–59</x:v>
      </x:c>
      <x:c r="F112" t="str">
        <x:v>3–5</x:v>
      </x:c>
      <x:c r="G112" t="str">
        <x:v>no</x:v>
      </x:c>
      <x:c r="H112" t="str">
        <x:v>yes</x:v>
      </x:c>
      <x:c r="I112" t="str">
        <x:v>Flag conflict + trace contributors; no silent resolution</x:v>
      </x:c>
      <x:c r="J112" t="str">
        <x:v>ENGINEERING—RULE CHECK</x:v>
      </x:c>
      <x:c r="K112" t="str">
        <x:v>Not run</x:v>
      </x:c>
      <x:c r="L112" t="str"/>
      <x:c r="M112" t="str"/>
      <x:c r="N112" t="str">
        <x:v>Synthetic case blueprint; materialize using fixed-seed generator</x:v>
      </x:c>
    </x:row>
    <x:row r="113" ht="24" customHeight="1">
      <x:c r="A113" t="str">
        <x:v>SYN-0112</x:v>
      </x:c>
      <x:c r="B113" t="str">
        <x:v>Conflicting information</x:v>
      </x:c>
      <x:c r="C113" t="str">
        <x:v>Invalid value or mismatch</x:v>
      </x:c>
      <x:c r="D113" t="n">
        <x:v>66</x:v>
      </x:c>
      <x:c r="E113" t="str">
        <x:v>60–71</x:v>
      </x:c>
      <x:c r="F113" t="str">
        <x:v>3–5</x:v>
      </x:c>
      <x:c r="G113" t="str">
        <x:v>no</x:v>
      </x:c>
      <x:c r="H113" t="str">
        <x:v>yes</x:v>
      </x:c>
      <x:c r="I113" t="str">
        <x:v>Flag conflict + trace contributors; no silent resolution</x:v>
      </x:c>
      <x:c r="J113" t="str">
        <x:v>ENGINEERING—RULE CHECK</x:v>
      </x:c>
      <x:c r="K113" t="str">
        <x:v>Not run</x:v>
      </x:c>
      <x:c r="L113" t="str"/>
      <x:c r="M113" t="str"/>
      <x:c r="N113" t="str">
        <x:v>Synthetic case blueprint; materialize using fixed-seed generator</x:v>
      </x:c>
    </x:row>
    <x:row r="114" ht="24" customHeight="1">
      <x:c r="A114" t="str">
        <x:v>SYN-0113</x:v>
      </x:c>
      <x:c r="B114" t="str">
        <x:v>Conflicting information</x:v>
      </x:c>
      <x:c r="C114" t="str">
        <x:v>Repeated conflicting observations</x:v>
      </x:c>
      <x:c r="D114" t="n">
        <x:v>1</x:v>
      </x:c>
      <x:c r="E114" t="str">
        <x:v>0–2</x:v>
      </x:c>
      <x:c r="F114" t="str">
        <x:v>Under 3</x:v>
      </x:c>
      <x:c r="G114" t="str">
        <x:v>no</x:v>
      </x:c>
      <x:c r="H114" t="str">
        <x:v>yes</x:v>
      </x:c>
      <x:c r="I114" t="str">
        <x:v>Flag conflict + trace contributors; no silent resolution</x:v>
      </x:c>
      <x:c r="J114" t="str">
        <x:v>ENGINEERING—RULE CHECK</x:v>
      </x:c>
      <x:c r="K114" t="str">
        <x:v>Not run</x:v>
      </x:c>
      <x:c r="L114" t="str"/>
      <x:c r="M114" t="str"/>
      <x:c r="N114" t="str">
        <x:v>Synthetic case blueprint; materialize using fixed-seed generator</x:v>
      </x:c>
    </x:row>
    <x:row r="115" ht="24" customHeight="1">
      <x:c r="A115" t="str">
        <x:v>SYN-0114</x:v>
      </x:c>
      <x:c r="B115" t="str">
        <x:v>Conflicting information</x:v>
      </x:c>
      <x:c r="C115" t="str">
        <x:v>Age disagreement</x:v>
      </x:c>
      <x:c r="D115" t="n">
        <x:v>5</x:v>
      </x:c>
      <x:c r="E115" t="str">
        <x:v>3–11</x:v>
      </x:c>
      <x:c r="F115" t="str">
        <x:v>Under 3</x:v>
      </x:c>
      <x:c r="G115" t="str">
        <x:v>no</x:v>
      </x:c>
      <x:c r="H115" t="str">
        <x:v>yes</x:v>
      </x:c>
      <x:c r="I115" t="str">
        <x:v>Flag conflict + trace contributors; no silent resolution</x:v>
      </x:c>
      <x:c r="J115" t="str">
        <x:v>ENGINEERING—RULE CHECK</x:v>
      </x:c>
      <x:c r="K115" t="str">
        <x:v>Not run</x:v>
      </x:c>
      <x:c r="L115" t="str"/>
      <x:c r="M115" t="str"/>
      <x:c r="N115" t="str">
        <x:v>Synthetic case blueprint; materialize using fixed-seed generator</x:v>
      </x:c>
    </x:row>
    <x:row r="116" ht="24" customHeight="1">
      <x:c r="A116" t="str">
        <x:v>SYN-0115</x:v>
      </x:c>
      <x:c r="B116" t="str">
        <x:v>Conflicting information</x:v>
      </x:c>
      <x:c r="C116" t="str">
        <x:v>Versioning mismatch</x:v>
      </x:c>
      <x:c r="D116" t="n">
        <x:v>17</x:v>
      </x:c>
      <x:c r="E116" t="str">
        <x:v>12–35</x:v>
      </x:c>
      <x:c r="F116" t="str">
        <x:v>Under 3</x:v>
      </x:c>
      <x:c r="G116" t="str">
        <x:v>no</x:v>
      </x:c>
      <x:c r="H116" t="str">
        <x:v>yes</x:v>
      </x:c>
      <x:c r="I116" t="str">
        <x:v>Flag conflict + trace contributors; no silent resolution</x:v>
      </x:c>
      <x:c r="J116" t="str">
        <x:v>ENGINEERING—RULE CHECK</x:v>
      </x:c>
      <x:c r="K116" t="str">
        <x:v>Not run</x:v>
      </x:c>
      <x:c r="L116" t="str"/>
      <x:c r="M116" t="str"/>
      <x:c r="N116" t="str">
        <x:v>Synthetic case blueprint; materialize using fixed-seed generator</x:v>
      </x:c>
    </x:row>
    <x:row r="117" ht="24" customHeight="1">
      <x:c r="A117" t="str">
        <x:v>SYN-0116</x:v>
      </x:c>
      <x:c r="B117" t="str">
        <x:v>Conflicting information</x:v>
      </x:c>
      <x:c r="C117" t="str">
        <x:v>Conflicting source assertions</x:v>
      </x:c>
      <x:c r="D117" t="n">
        <x:v>30</x:v>
      </x:c>
      <x:c r="E117" t="str">
        <x:v>12–35</x:v>
      </x:c>
      <x:c r="F117" t="str">
        <x:v>Under 3</x:v>
      </x:c>
      <x:c r="G117" t="str">
        <x:v>no</x:v>
      </x:c>
      <x:c r="H117" t="str">
        <x:v>yes</x:v>
      </x:c>
      <x:c r="I117" t="str">
        <x:v>Flag conflict + trace contributors; no silent resolution</x:v>
      </x:c>
      <x:c r="J117" t="str">
        <x:v>ENGINEERING—RULE CHECK</x:v>
      </x:c>
      <x:c r="K117" t="str">
        <x:v>Not run</x:v>
      </x:c>
      <x:c r="L117" t="str"/>
      <x:c r="M117" t="str"/>
      <x:c r="N117" t="str">
        <x:v>Synthetic case blueprint; materialize using fixed-seed generator</x:v>
      </x:c>
    </x:row>
    <x:row r="118" ht="24" customHeight="1">
      <x:c r="A118" t="str">
        <x:v>SYN-0117</x:v>
      </x:c>
      <x:c r="B118" t="str">
        <x:v>Conflicting information</x:v>
      </x:c>
      <x:c r="C118" t="str">
        <x:v>Invalid value or mismatch</x:v>
      </x:c>
      <x:c r="D118" t="n">
        <x:v>40</x:v>
      </x:c>
      <x:c r="E118" t="str">
        <x:v>36–47</x:v>
      </x:c>
      <x:c r="F118" t="str">
        <x:v>3–5</x:v>
      </x:c>
      <x:c r="G118" t="str">
        <x:v>no</x:v>
      </x:c>
      <x:c r="H118" t="str">
        <x:v>yes</x:v>
      </x:c>
      <x:c r="I118" t="str">
        <x:v>Flag conflict + trace contributors; no silent resolution</x:v>
      </x:c>
      <x:c r="J118" t="str">
        <x:v>ENGINEERING—RULE CHECK</x:v>
      </x:c>
      <x:c r="K118" t="str">
        <x:v>Not run</x:v>
      </x:c>
      <x:c r="L118" t="str"/>
      <x:c r="M118" t="str"/>
      <x:c r="N118" t="str">
        <x:v>Synthetic case blueprint; materialize using fixed-seed generator</x:v>
      </x:c>
    </x:row>
    <x:row r="119" ht="24" customHeight="1">
      <x:c r="A119" t="str">
        <x:v>SYN-0118</x:v>
      </x:c>
      <x:c r="B119" t="str">
        <x:v>Conflicting information</x:v>
      </x:c>
      <x:c r="C119" t="str">
        <x:v>Repeated conflicting observations</x:v>
      </x:c>
      <x:c r="D119" t="n">
        <x:v>54</x:v>
      </x:c>
      <x:c r="E119" t="str">
        <x:v>48–59</x:v>
      </x:c>
      <x:c r="F119" t="str">
        <x:v>3–5</x:v>
      </x:c>
      <x:c r="G119" t="str">
        <x:v>no</x:v>
      </x:c>
      <x:c r="H119" t="str">
        <x:v>yes</x:v>
      </x:c>
      <x:c r="I119" t="str">
        <x:v>Flag conflict + trace contributors; no silent resolution</x:v>
      </x:c>
      <x:c r="J119" t="str">
        <x:v>ENGINEERING—RULE CHECK</x:v>
      </x:c>
      <x:c r="K119" t="str">
        <x:v>Not run</x:v>
      </x:c>
      <x:c r="L119" t="str"/>
      <x:c r="M119" t="str"/>
      <x:c r="N119" t="str">
        <x:v>Synthetic case blueprint; materialize using fixed-seed generator</x:v>
      </x:c>
    </x:row>
    <x:row r="120" ht="24" customHeight="1">
      <x:c r="A120" t="str">
        <x:v>SYN-0119</x:v>
      </x:c>
      <x:c r="B120" t="str">
        <x:v>Conflicting information</x:v>
      </x:c>
      <x:c r="C120" t="str">
        <x:v>Age disagreement</x:v>
      </x:c>
      <x:c r="D120" t="n">
        <x:v>66</x:v>
      </x:c>
      <x:c r="E120" t="str">
        <x:v>60–71</x:v>
      </x:c>
      <x:c r="F120" t="str">
        <x:v>3–5</x:v>
      </x:c>
      <x:c r="G120" t="str">
        <x:v>no</x:v>
      </x:c>
      <x:c r="H120" t="str">
        <x:v>yes</x:v>
      </x:c>
      <x:c r="I120" t="str">
        <x:v>Flag conflict + trace contributors; no silent resolution</x:v>
      </x:c>
      <x:c r="J120" t="str">
        <x:v>ENGINEERING—RULE CHECK</x:v>
      </x:c>
      <x:c r="K120" t="str">
        <x:v>Not run</x:v>
      </x:c>
      <x:c r="L120" t="str"/>
      <x:c r="M120" t="str"/>
      <x:c r="N120" t="str">
        <x:v>Synthetic case blueprint; materialize using fixed-seed generator</x:v>
      </x:c>
    </x:row>
    <x:row r="121" ht="24" customHeight="1">
      <x:c r="A121" t="str">
        <x:v>SYN-0120</x:v>
      </x:c>
      <x:c r="B121" t="str">
        <x:v>Conflicting information</x:v>
      </x:c>
      <x:c r="C121" t="str">
        <x:v>Versioning mismatch</x:v>
      </x:c>
      <x:c r="D121" t="n">
        <x:v>1</x:v>
      </x:c>
      <x:c r="E121" t="str">
        <x:v>0–2</x:v>
      </x:c>
      <x:c r="F121" t="str">
        <x:v>Under 3</x:v>
      </x:c>
      <x:c r="G121" t="str">
        <x:v>no</x:v>
      </x:c>
      <x:c r="H121" t="str">
        <x:v>yes</x:v>
      </x:c>
      <x:c r="I121" t="str">
        <x:v>Flag conflict + trace contributors; no silent resolution</x:v>
      </x:c>
      <x:c r="J121" t="str">
        <x:v>ENGINEERING—RULE CHECK</x:v>
      </x:c>
      <x:c r="K121" t="str">
        <x:v>Not run</x:v>
      </x:c>
      <x:c r="L121" t="str"/>
      <x:c r="M121" t="str"/>
      <x:c r="N121" t="str">
        <x:v>Synthetic case blueprint; materialize using fixed-seed generator</x:v>
      </x:c>
    </x:row>
    <x:row r="122" ht="24" customHeight="1">
      <x:c r="A122" t="str">
        <x:v>SYN-0121</x:v>
      </x:c>
      <x:c r="B122" t="str">
        <x:v>Conflicting information</x:v>
      </x:c>
      <x:c r="C122" t="str">
        <x:v>Conflicting source assertions</x:v>
      </x:c>
      <x:c r="D122" t="n">
        <x:v>5</x:v>
      </x:c>
      <x:c r="E122" t="str">
        <x:v>3–11</x:v>
      </x:c>
      <x:c r="F122" t="str">
        <x:v>Under 3</x:v>
      </x:c>
      <x:c r="G122" t="str">
        <x:v>no</x:v>
      </x:c>
      <x:c r="H122" t="str">
        <x:v>yes</x:v>
      </x:c>
      <x:c r="I122" t="str">
        <x:v>Flag conflict + trace contributors; no silent resolution</x:v>
      </x:c>
      <x:c r="J122" t="str">
        <x:v>ENGINEERING—RULE CHECK</x:v>
      </x:c>
      <x:c r="K122" t="str">
        <x:v>Not run</x:v>
      </x:c>
      <x:c r="L122" t="str"/>
      <x:c r="M122" t="str"/>
      <x:c r="N122" t="str">
        <x:v>Synthetic case blueprint; materialize using fixed-seed generator</x:v>
      </x:c>
    </x:row>
    <x:row r="123" ht="24" customHeight="1">
      <x:c r="A123" t="str">
        <x:v>SYN-0122</x:v>
      </x:c>
      <x:c r="B123" t="str">
        <x:v>Conflicting information</x:v>
      </x:c>
      <x:c r="C123" t="str">
        <x:v>Invalid value or mismatch</x:v>
      </x:c>
      <x:c r="D123" t="n">
        <x:v>17</x:v>
      </x:c>
      <x:c r="E123" t="str">
        <x:v>12–35</x:v>
      </x:c>
      <x:c r="F123" t="str">
        <x:v>Under 3</x:v>
      </x:c>
      <x:c r="G123" t="str">
        <x:v>no</x:v>
      </x:c>
      <x:c r="H123" t="str">
        <x:v>yes</x:v>
      </x:c>
      <x:c r="I123" t="str">
        <x:v>Flag conflict + trace contributors; no silent resolution</x:v>
      </x:c>
      <x:c r="J123" t="str">
        <x:v>ENGINEERING—RULE CHECK</x:v>
      </x:c>
      <x:c r="K123" t="str">
        <x:v>Not run</x:v>
      </x:c>
      <x:c r="L123" t="str"/>
      <x:c r="M123" t="str"/>
      <x:c r="N123" t="str">
        <x:v>Synthetic case blueprint; materialize using fixed-seed generator</x:v>
      </x:c>
    </x:row>
    <x:row r="124" ht="24" customHeight="1">
      <x:c r="A124" t="str">
        <x:v>SYN-0123</x:v>
      </x:c>
      <x:c r="B124" t="str">
        <x:v>Conflicting information</x:v>
      </x:c>
      <x:c r="C124" t="str">
        <x:v>Repeated conflicting observations</x:v>
      </x:c>
      <x:c r="D124" t="n">
        <x:v>30</x:v>
      </x:c>
      <x:c r="E124" t="str">
        <x:v>12–35</x:v>
      </x:c>
      <x:c r="F124" t="str">
        <x:v>Under 3</x:v>
      </x:c>
      <x:c r="G124" t="str">
        <x:v>no</x:v>
      </x:c>
      <x:c r="H124" t="str">
        <x:v>yes</x:v>
      </x:c>
      <x:c r="I124" t="str">
        <x:v>Flag conflict + trace contributors; no silent resolution</x:v>
      </x:c>
      <x:c r="J124" t="str">
        <x:v>ENGINEERING—RULE CHECK</x:v>
      </x:c>
      <x:c r="K124" t="str">
        <x:v>Not run</x:v>
      </x:c>
      <x:c r="L124" t="str"/>
      <x:c r="M124" t="str"/>
      <x:c r="N124" t="str">
        <x:v>Synthetic case blueprint; materialize using fixed-seed generator</x:v>
      </x:c>
    </x:row>
    <x:row r="125" ht="24" customHeight="1">
      <x:c r="A125" t="str">
        <x:v>SYN-0124</x:v>
      </x:c>
      <x:c r="B125" t="str">
        <x:v>Conflicting information</x:v>
      </x:c>
      <x:c r="C125" t="str">
        <x:v>Age disagreement</x:v>
      </x:c>
      <x:c r="D125" t="n">
        <x:v>40</x:v>
      </x:c>
      <x:c r="E125" t="str">
        <x:v>36–47</x:v>
      </x:c>
      <x:c r="F125" t="str">
        <x:v>3–5</x:v>
      </x:c>
      <x:c r="G125" t="str">
        <x:v>no</x:v>
      </x:c>
      <x:c r="H125" t="str">
        <x:v>yes</x:v>
      </x:c>
      <x:c r="I125" t="str">
        <x:v>Flag conflict + trace contributors; no silent resolution</x:v>
      </x:c>
      <x:c r="J125" t="str">
        <x:v>ENGINEERING—RULE CHECK</x:v>
      </x:c>
      <x:c r="K125" t="str">
        <x:v>Not run</x:v>
      </x:c>
      <x:c r="L125" t="str"/>
      <x:c r="M125" t="str"/>
      <x:c r="N125" t="str">
        <x:v>Synthetic case blueprint; materialize using fixed-seed generator</x:v>
      </x:c>
    </x:row>
    <x:row r="126" ht="24" customHeight="1">
      <x:c r="A126" t="str">
        <x:v>SYN-0125</x:v>
      </x:c>
      <x:c r="B126" t="str">
        <x:v>Conflicting information</x:v>
      </x:c>
      <x:c r="C126" t="str">
        <x:v>Versioning mismatch</x:v>
      </x:c>
      <x:c r="D126" t="n">
        <x:v>54</x:v>
      </x:c>
      <x:c r="E126" t="str">
        <x:v>48–59</x:v>
      </x:c>
      <x:c r="F126" t="str">
        <x:v>3–5</x:v>
      </x:c>
      <x:c r="G126" t="str">
        <x:v>no</x:v>
      </x:c>
      <x:c r="H126" t="str">
        <x:v>yes</x:v>
      </x:c>
      <x:c r="I126" t="str">
        <x:v>Flag conflict + trace contributors; no silent resolution</x:v>
      </x:c>
      <x:c r="J126" t="str">
        <x:v>ENGINEERING—RULE CHECK</x:v>
      </x:c>
      <x:c r="K126" t="str">
        <x:v>Not run</x:v>
      </x:c>
      <x:c r="L126" t="str"/>
      <x:c r="M126" t="str"/>
      <x:c r="N126" t="str">
        <x:v>Synthetic case blueprint; materialize using fixed-seed generator</x:v>
      </x:c>
    </x:row>
    <x:row r="127" ht="24" customHeight="1">
      <x:c r="A127" t="str">
        <x:v>SYN-0126</x:v>
      </x:c>
      <x:c r="B127" t="str">
        <x:v>Safety edge cases</x:v>
      </x:c>
      <x:c r="C127" t="str">
        <x:v>Duplicate synthetic patient identifier</x:v>
      </x:c>
      <x:c r="D127" t="n">
        <x:v>66</x:v>
      </x:c>
      <x:c r="E127" t="str">
        <x:v>60–71</x:v>
      </x:c>
      <x:c r="F127" t="str">
        <x:v>3–5</x:v>
      </x:c>
      <x:c r="G127" t="str">
        <x:v>no</x:v>
      </x:c>
      <x:c r="H127" t="str">
        <x:v>no</x:v>
      </x:c>
      <x:c r="I127" t="str">
        <x:v>Reject/hold unauthorized or invalid technical action; audit event</x:v>
      </x:c>
      <x:c r="J127" t="str">
        <x:v>ENGINEERING—RULE CHECK</x:v>
      </x:c>
      <x:c r="K127" t="str">
        <x:v>Not run</x:v>
      </x:c>
      <x:c r="L127" t="str"/>
      <x:c r="M127" t="str"/>
      <x:c r="N127" t="str">
        <x:v>Synthetic case blueprint; materialize using fixed-seed generator</x:v>
      </x:c>
    </x:row>
    <x:row r="128" ht="24" customHeight="1">
      <x:c r="A128" t="str">
        <x:v>SYN-0127</x:v>
      </x:c>
      <x:c r="B128" t="str">
        <x:v>Safety edge cases</x:v>
      </x:c>
      <x:c r="C128" t="str">
        <x:v>Malformed FHIR payload</x:v>
      </x:c>
      <x:c r="D128" t="n">
        <x:v>1</x:v>
      </x:c>
      <x:c r="E128" t="str">
        <x:v>0–2</x:v>
      </x:c>
      <x:c r="F128" t="str">
        <x:v>Under 3</x:v>
      </x:c>
      <x:c r="G128" t="str">
        <x:v>no</x:v>
      </x:c>
      <x:c r="H128" t="str">
        <x:v>no</x:v>
      </x:c>
      <x:c r="I128" t="str">
        <x:v>Reject/hold unauthorized or invalid technical action; audit event</x:v>
      </x:c>
      <x:c r="J128" t="str">
        <x:v>ENGINEERING—RULE CHECK</x:v>
      </x:c>
      <x:c r="K128" t="str">
        <x:v>Not run</x:v>
      </x:c>
      <x:c r="L128" t="str"/>
      <x:c r="M128" t="str"/>
      <x:c r="N128" t="str">
        <x:v>Synthetic case blueprint; materialize using fixed-seed generator</x:v>
      </x:c>
    </x:row>
    <x:row r="129" ht="24" customHeight="1">
      <x:c r="A129" t="str">
        <x:v>SYN-0128</x:v>
      </x:c>
      <x:c r="B129" t="str">
        <x:v>Safety edge cases</x:v>
      </x:c>
      <x:c r="C129" t="str">
        <x:v>Audit event missing</x:v>
      </x:c>
      <x:c r="D129" t="n">
        <x:v>5</x:v>
      </x:c>
      <x:c r="E129" t="str">
        <x:v>3–11</x:v>
      </x:c>
      <x:c r="F129" t="str">
        <x:v>Under 3</x:v>
      </x:c>
      <x:c r="G129" t="str">
        <x:v>no</x:v>
      </x:c>
      <x:c r="H129" t="str">
        <x:v>no</x:v>
      </x:c>
      <x:c r="I129" t="str">
        <x:v>Reject/hold unauthorized or invalid technical action; audit event</x:v>
      </x:c>
      <x:c r="J129" t="str">
        <x:v>ENGINEERING—RULE CHECK</x:v>
      </x:c>
      <x:c r="K129" t="str">
        <x:v>Not run</x:v>
      </x:c>
      <x:c r="L129" t="str"/>
      <x:c r="M129" t="str"/>
      <x:c r="N129" t="str">
        <x:v>Synthetic case blueprint; materialize using fixed-seed generator</x:v>
      </x:c>
    </x:row>
    <x:row r="130" ht="24" customHeight="1">
      <x:c r="A130" t="str">
        <x:v>SYN-0129</x:v>
      </x:c>
      <x:c r="B130" t="str">
        <x:v>Safety edge cases</x:v>
      </x:c>
      <x:c r="C130" t="str">
        <x:v>Unsafe auto-referral attempt</x:v>
      </x:c>
      <x:c r="D130" t="n">
        <x:v>17</x:v>
      </x:c>
      <x:c r="E130" t="str">
        <x:v>12–35</x:v>
      </x:c>
      <x:c r="F130" t="str">
        <x:v>Under 3</x:v>
      </x:c>
      <x:c r="G130" t="str">
        <x:v>no</x:v>
      </x:c>
      <x:c r="H130" t="str">
        <x:v>no</x:v>
      </x:c>
      <x:c r="I130" t="str">
        <x:v>Reject/hold unauthorized or invalid technical action; audit event</x:v>
      </x:c>
      <x:c r="J130" t="str">
        <x:v>ENGINEERING—RULE CHECK</x:v>
      </x:c>
      <x:c r="K130" t="str">
        <x:v>Not run</x:v>
      </x:c>
      <x:c r="L130" t="str"/>
      <x:c r="M130" t="str"/>
      <x:c r="N130" t="str">
        <x:v>Synthetic case blueprint; materialize using fixed-seed generator</x:v>
      </x:c>
    </x:row>
    <x:row r="131" ht="24" customHeight="1">
      <x:c r="A131" t="str">
        <x:v>SYN-0130</x:v>
      </x:c>
      <x:c r="B131" t="str">
        <x:v>Safety edge cases</x:v>
      </x:c>
      <x:c r="C131" t="str">
        <x:v>Abstention trace not recorded</x:v>
      </x:c>
      <x:c r="D131" t="n">
        <x:v>30</x:v>
      </x:c>
      <x:c r="E131" t="str">
        <x:v>12–35</x:v>
      </x:c>
      <x:c r="F131" t="str">
        <x:v>Under 3</x:v>
      </x:c>
      <x:c r="G131" t="str">
        <x:v>no</x:v>
      </x:c>
      <x:c r="H131" t="str">
        <x:v>no</x:v>
      </x:c>
      <x:c r="I131" t="str">
        <x:v>Reject/hold unauthorized or invalid technical action; audit event</x:v>
      </x:c>
      <x:c r="J131" t="str">
        <x:v>ENGINEERING—RULE CHECK</x:v>
      </x:c>
      <x:c r="K131" t="str">
        <x:v>Not run</x:v>
      </x:c>
      <x:c r="L131" t="str"/>
      <x:c r="M131" t="str"/>
      <x:c r="N131" t="str">
        <x:v>Synthetic case blueprint; materialize using fixed-seed generator</x:v>
      </x:c>
    </x:row>
    <x:row r="132" ht="24" customHeight="1">
      <x:c r="A132" t="str">
        <x:v>SYN-0131</x:v>
      </x:c>
      <x:c r="B132" t="str">
        <x:v>Safety edge cases</x:v>
      </x:c>
      <x:c r="C132" t="str">
        <x:v>Duplicate synthetic patient identifier</x:v>
      </x:c>
      <x:c r="D132" t="n">
        <x:v>40</x:v>
      </x:c>
      <x:c r="E132" t="str">
        <x:v>36–47</x:v>
      </x:c>
      <x:c r="F132" t="str">
        <x:v>3–5</x:v>
      </x:c>
      <x:c r="G132" t="str">
        <x:v>no</x:v>
      </x:c>
      <x:c r="H132" t="str">
        <x:v>no</x:v>
      </x:c>
      <x:c r="I132" t="str">
        <x:v>Reject/hold unauthorized or invalid technical action; audit event</x:v>
      </x:c>
      <x:c r="J132" t="str">
        <x:v>ENGINEERING—RULE CHECK</x:v>
      </x:c>
      <x:c r="K132" t="str">
        <x:v>Not run</x:v>
      </x:c>
      <x:c r="L132" t="str"/>
      <x:c r="M132" t="str"/>
      <x:c r="N132" t="str">
        <x:v>Synthetic case blueprint; materialize using fixed-seed generator</x:v>
      </x:c>
    </x:row>
    <x:row r="133" ht="24" customHeight="1">
      <x:c r="A133" t="str">
        <x:v>SYN-0132</x:v>
      </x:c>
      <x:c r="B133" t="str">
        <x:v>Safety edge cases</x:v>
      </x:c>
      <x:c r="C133" t="str">
        <x:v>Malformed FHIR payload</x:v>
      </x:c>
      <x:c r="D133" t="n">
        <x:v>54</x:v>
      </x:c>
      <x:c r="E133" t="str">
        <x:v>48–59</x:v>
      </x:c>
      <x:c r="F133" t="str">
        <x:v>3–5</x:v>
      </x:c>
      <x:c r="G133" t="str">
        <x:v>no</x:v>
      </x:c>
      <x:c r="H133" t="str">
        <x:v>no</x:v>
      </x:c>
      <x:c r="I133" t="str">
        <x:v>Reject/hold unauthorized or invalid technical action; audit event</x:v>
      </x:c>
      <x:c r="J133" t="str">
        <x:v>ENGINEERING—RULE CHECK</x:v>
      </x:c>
      <x:c r="K133" t="str">
        <x:v>Not run</x:v>
      </x:c>
      <x:c r="L133" t="str"/>
      <x:c r="M133" t="str"/>
      <x:c r="N133" t="str">
        <x:v>Synthetic case blueprint; materialize using fixed-seed generator</x:v>
      </x:c>
    </x:row>
    <x:row r="134" ht="24" customHeight="1">
      <x:c r="A134" t="str">
        <x:v>SYN-0133</x:v>
      </x:c>
      <x:c r="B134" t="str">
        <x:v>Safety edge cases</x:v>
      </x:c>
      <x:c r="C134" t="str">
        <x:v>Audit event missing</x:v>
      </x:c>
      <x:c r="D134" t="n">
        <x:v>66</x:v>
      </x:c>
      <x:c r="E134" t="str">
        <x:v>60–71</x:v>
      </x:c>
      <x:c r="F134" t="str">
        <x:v>3–5</x:v>
      </x:c>
      <x:c r="G134" t="str">
        <x:v>no</x:v>
      </x:c>
      <x:c r="H134" t="str">
        <x:v>no</x:v>
      </x:c>
      <x:c r="I134" t="str">
        <x:v>Reject/hold unauthorized or invalid technical action; audit event</x:v>
      </x:c>
      <x:c r="J134" t="str">
        <x:v>ENGINEERING—RULE CHECK</x:v>
      </x:c>
      <x:c r="K134" t="str">
        <x:v>Not run</x:v>
      </x:c>
      <x:c r="L134" t="str"/>
      <x:c r="M134" t="str"/>
      <x:c r="N134" t="str">
        <x:v>Synthetic case blueprint; materialize using fixed-seed generator</x:v>
      </x:c>
    </x:row>
    <x:row r="135" ht="24" customHeight="1">
      <x:c r="A135" t="str">
        <x:v>SYN-0134</x:v>
      </x:c>
      <x:c r="B135" t="str">
        <x:v>Safety edge cases</x:v>
      </x:c>
      <x:c r="C135" t="str">
        <x:v>Unsafe auto-referral attempt</x:v>
      </x:c>
      <x:c r="D135" t="n">
        <x:v>1</x:v>
      </x:c>
      <x:c r="E135" t="str">
        <x:v>0–2</x:v>
      </x:c>
      <x:c r="F135" t="str">
        <x:v>Under 3</x:v>
      </x:c>
      <x:c r="G135" t="str">
        <x:v>no</x:v>
      </x:c>
      <x:c r="H135" t="str">
        <x:v>no</x:v>
      </x:c>
      <x:c r="I135" t="str">
        <x:v>Reject/hold unauthorized or invalid technical action; audit event</x:v>
      </x:c>
      <x:c r="J135" t="str">
        <x:v>ENGINEERING—RULE CHECK</x:v>
      </x:c>
      <x:c r="K135" t="str">
        <x:v>Not run</x:v>
      </x:c>
      <x:c r="L135" t="str"/>
      <x:c r="M135" t="str"/>
      <x:c r="N135" t="str">
        <x:v>Synthetic case blueprint; materialize using fixed-seed generator</x:v>
      </x:c>
    </x:row>
    <x:row r="136" ht="24" customHeight="1">
      <x:c r="A136" t="str">
        <x:v>SYN-0135</x:v>
      </x:c>
      <x:c r="B136" t="str">
        <x:v>Safety edge cases</x:v>
      </x:c>
      <x:c r="C136" t="str">
        <x:v>Abstention trace not recorded</x:v>
      </x:c>
      <x:c r="D136" t="n">
        <x:v>5</x:v>
      </x:c>
      <x:c r="E136" t="str">
        <x:v>3–11</x:v>
      </x:c>
      <x:c r="F136" t="str">
        <x:v>Under 3</x:v>
      </x:c>
      <x:c r="G136" t="str">
        <x:v>no</x:v>
      </x:c>
      <x:c r="H136" t="str">
        <x:v>no</x:v>
      </x:c>
      <x:c r="I136" t="str">
        <x:v>Reject/hold unauthorized or invalid technical action; audit event</x:v>
      </x:c>
      <x:c r="J136" t="str">
        <x:v>ENGINEERING—RULE CHECK</x:v>
      </x:c>
      <x:c r="K136" t="str">
        <x:v>Not run</x:v>
      </x:c>
      <x:c r="L136" t="str"/>
      <x:c r="M136" t="str"/>
      <x:c r="N136" t="str">
        <x:v>Synthetic case blueprint; materialize using fixed-seed generator</x:v>
      </x:c>
    </x:row>
    <x:row r="137" ht="24" customHeight="1">
      <x:c r="A137" t="str">
        <x:v>SYN-0136</x:v>
      </x:c>
      <x:c r="B137" t="str">
        <x:v>Safety edge cases</x:v>
      </x:c>
      <x:c r="C137" t="str">
        <x:v>Duplicate synthetic patient identifier</x:v>
      </x:c>
      <x:c r="D137" t="n">
        <x:v>17</x:v>
      </x:c>
      <x:c r="E137" t="str">
        <x:v>12–35</x:v>
      </x:c>
      <x:c r="F137" t="str">
        <x:v>Under 3</x:v>
      </x:c>
      <x:c r="G137" t="str">
        <x:v>no</x:v>
      </x:c>
      <x:c r="H137" t="str">
        <x:v>no</x:v>
      </x:c>
      <x:c r="I137" t="str">
        <x:v>Reject/hold unauthorized or invalid technical action; audit event</x:v>
      </x:c>
      <x:c r="J137" t="str">
        <x:v>ENGINEERING—RULE CHECK</x:v>
      </x:c>
      <x:c r="K137" t="str">
        <x:v>Not run</x:v>
      </x:c>
      <x:c r="L137" t="str"/>
      <x:c r="M137" t="str"/>
      <x:c r="N137" t="str">
        <x:v>Synthetic case blueprint; materialize using fixed-seed generator</x:v>
      </x:c>
    </x:row>
    <x:row r="138" ht="24" customHeight="1">
      <x:c r="A138" t="str">
        <x:v>SYN-0137</x:v>
      </x:c>
      <x:c r="B138" t="str">
        <x:v>Safety edge cases</x:v>
      </x:c>
      <x:c r="C138" t="str">
        <x:v>Malformed FHIR payload</x:v>
      </x:c>
      <x:c r="D138" t="n">
        <x:v>30</x:v>
      </x:c>
      <x:c r="E138" t="str">
        <x:v>12–35</x:v>
      </x:c>
      <x:c r="F138" t="str">
        <x:v>Under 3</x:v>
      </x:c>
      <x:c r="G138" t="str">
        <x:v>no</x:v>
      </x:c>
      <x:c r="H138" t="str">
        <x:v>no</x:v>
      </x:c>
      <x:c r="I138" t="str">
        <x:v>Reject/hold unauthorized or invalid technical action; audit event</x:v>
      </x:c>
      <x:c r="J138" t="str">
        <x:v>ENGINEERING—RULE CHECK</x:v>
      </x:c>
      <x:c r="K138" t="str">
        <x:v>Not run</x:v>
      </x:c>
      <x:c r="L138" t="str"/>
      <x:c r="M138" t="str"/>
      <x:c r="N138" t="str">
        <x:v>Synthetic case blueprint; materialize using fixed-seed generator</x:v>
      </x:c>
    </x:row>
    <x:row r="139" ht="24" customHeight="1">
      <x:c r="A139" t="str">
        <x:v>SYN-0138</x:v>
      </x:c>
      <x:c r="B139" t="str">
        <x:v>Safety edge cases</x:v>
      </x:c>
      <x:c r="C139" t="str">
        <x:v>Audit event missing</x:v>
      </x:c>
      <x:c r="D139" t="n">
        <x:v>40</x:v>
      </x:c>
      <x:c r="E139" t="str">
        <x:v>36–47</x:v>
      </x:c>
      <x:c r="F139" t="str">
        <x:v>3–5</x:v>
      </x:c>
      <x:c r="G139" t="str">
        <x:v>no</x:v>
      </x:c>
      <x:c r="H139" t="str">
        <x:v>no</x:v>
      </x:c>
      <x:c r="I139" t="str">
        <x:v>Reject/hold unauthorized or invalid technical action; audit event</x:v>
      </x:c>
      <x:c r="J139" t="str">
        <x:v>ENGINEERING—RULE CHECK</x:v>
      </x:c>
      <x:c r="K139" t="str">
        <x:v>Not run</x:v>
      </x:c>
      <x:c r="L139" t="str"/>
      <x:c r="M139" t="str"/>
      <x:c r="N139" t="str">
        <x:v>Synthetic case blueprint; materialize using fixed-seed generator</x:v>
      </x:c>
    </x:row>
    <x:row r="140" ht="24" customHeight="1">
      <x:c r="A140" t="str">
        <x:v>SYN-0139</x:v>
      </x:c>
      <x:c r="B140" t="str">
        <x:v>Safety edge cases</x:v>
      </x:c>
      <x:c r="C140" t="str">
        <x:v>Unsafe auto-referral attempt</x:v>
      </x:c>
      <x:c r="D140" t="n">
        <x:v>54</x:v>
      </x:c>
      <x:c r="E140" t="str">
        <x:v>48–59</x:v>
      </x:c>
      <x:c r="F140" t="str">
        <x:v>3–5</x:v>
      </x:c>
      <x:c r="G140" t="str">
        <x:v>no</x:v>
      </x:c>
      <x:c r="H140" t="str">
        <x:v>no</x:v>
      </x:c>
      <x:c r="I140" t="str">
        <x:v>Reject/hold unauthorized or invalid technical action; audit event</x:v>
      </x:c>
      <x:c r="J140" t="str">
        <x:v>ENGINEERING—RULE CHECK</x:v>
      </x:c>
      <x:c r="K140" t="str">
        <x:v>Not run</x:v>
      </x:c>
      <x:c r="L140" t="str"/>
      <x:c r="M140" t="str"/>
      <x:c r="N140" t="str">
        <x:v>Synthetic case blueprint; materialize using fixed-seed generator</x:v>
      </x:c>
    </x:row>
    <x:row r="141" ht="24" customHeight="1">
      <x:c r="A141" t="str">
        <x:v>SYN-0140</x:v>
      </x:c>
      <x:c r="B141" t="str">
        <x:v>Safety edge cases</x:v>
      </x:c>
      <x:c r="C141" t="str">
        <x:v>Abstention trace not recorded</x:v>
      </x:c>
      <x:c r="D141" t="n">
        <x:v>66</x:v>
      </x:c>
      <x:c r="E141" t="str">
        <x:v>60–71</x:v>
      </x:c>
      <x:c r="F141" t="str">
        <x:v>3–5</x:v>
      </x:c>
      <x:c r="G141" t="str">
        <x:v>no</x:v>
      </x:c>
      <x:c r="H141" t="str">
        <x:v>no</x:v>
      </x:c>
      <x:c r="I141" t="str">
        <x:v>Reject/hold unauthorized or invalid technical action; audit event</x:v>
      </x:c>
      <x:c r="J141" t="str">
        <x:v>ENGINEERING—RULE CHECK</x:v>
      </x:c>
      <x:c r="K141" t="str">
        <x:v>Not run</x:v>
      </x:c>
      <x:c r="L141" t="str"/>
      <x:c r="M141" t="str"/>
      <x:c r="N141" t="str">
        <x:v>Synthetic case blueprint; materialize using fixed-seed generator</x:v>
      </x:c>
    </x:row>
    <x:row r="142" ht="24" customHeight="1">
      <x:c r="A142" t="str">
        <x:v>SYN-0141</x:v>
      </x:c>
      <x:c r="B142" t="str">
        <x:v>Safety edge cases</x:v>
      </x:c>
      <x:c r="C142" t="str">
        <x:v>Duplicate synthetic patient identifier</x:v>
      </x:c>
      <x:c r="D142" t="n">
        <x:v>1</x:v>
      </x:c>
      <x:c r="E142" t="str">
        <x:v>0–2</x:v>
      </x:c>
      <x:c r="F142" t="str">
        <x:v>Under 3</x:v>
      </x:c>
      <x:c r="G142" t="str">
        <x:v>no</x:v>
      </x:c>
      <x:c r="H142" t="str">
        <x:v>no</x:v>
      </x:c>
      <x:c r="I142" t="str">
        <x:v>Reject/hold unauthorized or invalid technical action; audit event</x:v>
      </x:c>
      <x:c r="J142" t="str">
        <x:v>ENGINEERING—RULE CHECK</x:v>
      </x:c>
      <x:c r="K142" t="str">
        <x:v>Not run</x:v>
      </x:c>
      <x:c r="L142" t="str"/>
      <x:c r="M142" t="str"/>
      <x:c r="N142" t="str">
        <x:v>Synthetic case blueprint; materialize using fixed-seed generator</x:v>
      </x:c>
    </x:row>
    <x:row r="143" ht="24" customHeight="1">
      <x:c r="A143" t="str">
        <x:v>SYN-0142</x:v>
      </x:c>
      <x:c r="B143" t="str">
        <x:v>Safety edge cases</x:v>
      </x:c>
      <x:c r="C143" t="str">
        <x:v>Malformed FHIR payload</x:v>
      </x:c>
      <x:c r="D143" t="n">
        <x:v>5</x:v>
      </x:c>
      <x:c r="E143" t="str">
        <x:v>3–11</x:v>
      </x:c>
      <x:c r="F143" t="str">
        <x:v>Under 3</x:v>
      </x:c>
      <x:c r="G143" t="str">
        <x:v>no</x:v>
      </x:c>
      <x:c r="H143" t="str">
        <x:v>no</x:v>
      </x:c>
      <x:c r="I143" t="str">
        <x:v>Reject/hold unauthorized or invalid technical action; audit event</x:v>
      </x:c>
      <x:c r="J143" t="str">
        <x:v>ENGINEERING—RULE CHECK</x:v>
      </x:c>
      <x:c r="K143" t="str">
        <x:v>Not run</x:v>
      </x:c>
      <x:c r="L143" t="str"/>
      <x:c r="M143" t="str"/>
      <x:c r="N143" t="str">
        <x:v>Synthetic case blueprint; materialize using fixed-seed generator</x:v>
      </x:c>
    </x:row>
    <x:row r="144" ht="24" customHeight="1">
      <x:c r="A144" t="str">
        <x:v>SYN-0143</x:v>
      </x:c>
      <x:c r="B144" t="str">
        <x:v>Safety edge cases</x:v>
      </x:c>
      <x:c r="C144" t="str">
        <x:v>Audit event missing</x:v>
      </x:c>
      <x:c r="D144" t="n">
        <x:v>17</x:v>
      </x:c>
      <x:c r="E144" t="str">
        <x:v>12–35</x:v>
      </x:c>
      <x:c r="F144" t="str">
        <x:v>Under 3</x:v>
      </x:c>
      <x:c r="G144" t="str">
        <x:v>no</x:v>
      </x:c>
      <x:c r="H144" t="str">
        <x:v>no</x:v>
      </x:c>
      <x:c r="I144" t="str">
        <x:v>Reject/hold unauthorized or invalid technical action; audit event</x:v>
      </x:c>
      <x:c r="J144" t="str">
        <x:v>ENGINEERING—RULE CHECK</x:v>
      </x:c>
      <x:c r="K144" t="str">
        <x:v>Not run</x:v>
      </x:c>
      <x:c r="L144" t="str"/>
      <x:c r="M144" t="str"/>
      <x:c r="N144" t="str">
        <x:v>Synthetic case blueprint; materialize using fixed-seed generator</x:v>
      </x:c>
    </x:row>
    <x:row r="145" ht="24" customHeight="1">
      <x:c r="A145" t="str">
        <x:v>SYN-0144</x:v>
      </x:c>
      <x:c r="B145" t="str">
        <x:v>Safety edge cases</x:v>
      </x:c>
      <x:c r="C145" t="str">
        <x:v>Unsafe auto-referral attempt</x:v>
      </x:c>
      <x:c r="D145" t="n">
        <x:v>30</x:v>
      </x:c>
      <x:c r="E145" t="str">
        <x:v>12–35</x:v>
      </x:c>
      <x:c r="F145" t="str">
        <x:v>Under 3</x:v>
      </x:c>
      <x:c r="G145" t="str">
        <x:v>no</x:v>
      </x:c>
      <x:c r="H145" t="str">
        <x:v>no</x:v>
      </x:c>
      <x:c r="I145" t="str">
        <x:v>Reject/hold unauthorized or invalid technical action; audit event</x:v>
      </x:c>
      <x:c r="J145" t="str">
        <x:v>ENGINEERING—RULE CHECK</x:v>
      </x:c>
      <x:c r="K145" t="str">
        <x:v>Not run</x:v>
      </x:c>
      <x:c r="L145" t="str"/>
      <x:c r="M145" t="str"/>
      <x:c r="N145" t="str">
        <x:v>Synthetic case blueprint; materialize using fixed-seed generator</x:v>
      </x:c>
    </x:row>
    <x:row r="146" ht="24" customHeight="1">
      <x:c r="A146" t="str">
        <x:v>SYN-0145</x:v>
      </x:c>
      <x:c r="B146" t="str">
        <x:v>Safety edge cases</x:v>
      </x:c>
      <x:c r="C146" t="str">
        <x:v>Abstention trace not recorded</x:v>
      </x:c>
      <x:c r="D146" t="n">
        <x:v>40</x:v>
      </x:c>
      <x:c r="E146" t="str">
        <x:v>36–47</x:v>
      </x:c>
      <x:c r="F146" t="str">
        <x:v>3–5</x:v>
      </x:c>
      <x:c r="G146" t="str">
        <x:v>no</x:v>
      </x:c>
      <x:c r="H146" t="str">
        <x:v>no</x:v>
      </x:c>
      <x:c r="I146" t="str">
        <x:v>Reject/hold unauthorized or invalid technical action; audit event</x:v>
      </x:c>
      <x:c r="J146" t="str">
        <x:v>ENGINEERING—RULE CHECK</x:v>
      </x:c>
      <x:c r="K146" t="str">
        <x:v>Not run</x:v>
      </x:c>
      <x:c r="L146" t="str"/>
      <x:c r="M146" t="str"/>
      <x:c r="N146" t="str">
        <x:v>Synthetic case blueprint; materialize using fixed-seed generator</x:v>
      </x:c>
    </x:row>
    <x:row r="147" ht="24" customHeight="1">
      <x:c r="A147" t="str">
        <x:v>SYN-0146</x:v>
      </x:c>
      <x:c r="B147" t="str">
        <x:v>Safety edge cases</x:v>
      </x:c>
      <x:c r="C147" t="str">
        <x:v>Duplicate synthetic patient identifier</x:v>
      </x:c>
      <x:c r="D147" t="n">
        <x:v>54</x:v>
      </x:c>
      <x:c r="E147" t="str">
        <x:v>48–59</x:v>
      </x:c>
      <x:c r="F147" t="str">
        <x:v>3–5</x:v>
      </x:c>
      <x:c r="G147" t="str">
        <x:v>no</x:v>
      </x:c>
      <x:c r="H147" t="str">
        <x:v>no</x:v>
      </x:c>
      <x:c r="I147" t="str">
        <x:v>Reject/hold unauthorized or invalid technical action; audit event</x:v>
      </x:c>
      <x:c r="J147" t="str">
        <x:v>ENGINEERING—RULE CHECK</x:v>
      </x:c>
      <x:c r="K147" t="str">
        <x:v>Not run</x:v>
      </x:c>
      <x:c r="L147" t="str"/>
      <x:c r="M147" t="str"/>
      <x:c r="N147" t="str">
        <x:v>Synthetic case blueprint; materialize using fixed-seed generator</x:v>
      </x:c>
    </x:row>
    <x:row r="148" ht="24" customHeight="1">
      <x:c r="A148" t="str">
        <x:v>SYN-0147</x:v>
      </x:c>
      <x:c r="B148" t="str">
        <x:v>Safety edge cases</x:v>
      </x:c>
      <x:c r="C148" t="str">
        <x:v>Malformed FHIR payload</x:v>
      </x:c>
      <x:c r="D148" t="n">
        <x:v>66</x:v>
      </x:c>
      <x:c r="E148" t="str">
        <x:v>60–71</x:v>
      </x:c>
      <x:c r="F148" t="str">
        <x:v>3–5</x:v>
      </x:c>
      <x:c r="G148" t="str">
        <x:v>no</x:v>
      </x:c>
      <x:c r="H148" t="str">
        <x:v>no</x:v>
      </x:c>
      <x:c r="I148" t="str">
        <x:v>Reject/hold unauthorized or invalid technical action; audit event</x:v>
      </x:c>
      <x:c r="J148" t="str">
        <x:v>ENGINEERING—RULE CHECK</x:v>
      </x:c>
      <x:c r="K148" t="str">
        <x:v>Not run</x:v>
      </x:c>
      <x:c r="L148" t="str"/>
      <x:c r="M148" t="str"/>
      <x:c r="N148" t="str">
        <x:v>Synthetic case blueprint; materialize using fixed-seed generator</x:v>
      </x:c>
    </x:row>
    <x:row r="149" ht="24" customHeight="1">
      <x:c r="A149" t="str">
        <x:v>SYN-0148</x:v>
      </x:c>
      <x:c r="B149" t="str">
        <x:v>Safety edge cases</x:v>
      </x:c>
      <x:c r="C149" t="str">
        <x:v>Audit event missing</x:v>
      </x:c>
      <x:c r="D149" t="n">
        <x:v>1</x:v>
      </x:c>
      <x:c r="E149" t="str">
        <x:v>0–2</x:v>
      </x:c>
      <x:c r="F149" t="str">
        <x:v>Under 3</x:v>
      </x:c>
      <x:c r="G149" t="str">
        <x:v>no</x:v>
      </x:c>
      <x:c r="H149" t="str">
        <x:v>no</x:v>
      </x:c>
      <x:c r="I149" t="str">
        <x:v>Reject/hold unauthorized or invalid technical action; audit event</x:v>
      </x:c>
      <x:c r="J149" t="str">
        <x:v>ENGINEERING—RULE CHECK</x:v>
      </x:c>
      <x:c r="K149" t="str">
        <x:v>Not run</x:v>
      </x:c>
      <x:c r="L149" t="str"/>
      <x:c r="M149" t="str"/>
      <x:c r="N149" t="str">
        <x:v>Synthetic case blueprint; materialize using fixed-seed generator</x:v>
      </x:c>
    </x:row>
    <x:row r="150" ht="24" customHeight="1">
      <x:c r="A150" t="str">
        <x:v>SYN-0149</x:v>
      </x:c>
      <x:c r="B150" t="str">
        <x:v>Safety edge cases</x:v>
      </x:c>
      <x:c r="C150" t="str">
        <x:v>Unsafe auto-referral attempt</x:v>
      </x:c>
      <x:c r="D150" t="n">
        <x:v>5</x:v>
      </x:c>
      <x:c r="E150" t="str">
        <x:v>3–11</x:v>
      </x:c>
      <x:c r="F150" t="str">
        <x:v>Under 3</x:v>
      </x:c>
      <x:c r="G150" t="str">
        <x:v>no</x:v>
      </x:c>
      <x:c r="H150" t="str">
        <x:v>no</x:v>
      </x:c>
      <x:c r="I150" t="str">
        <x:v>Reject/hold unauthorized or invalid technical action; audit event</x:v>
      </x:c>
      <x:c r="J150" t="str">
        <x:v>ENGINEERING—RULE CHECK</x:v>
      </x:c>
      <x:c r="K150" t="str">
        <x:v>Not run</x:v>
      </x:c>
      <x:c r="L150" t="str"/>
      <x:c r="M150" t="str"/>
      <x:c r="N150" t="str">
        <x:v>Synthetic case blueprint; materialize using fixed-seed generator</x:v>
      </x:c>
    </x:row>
    <x:row r="151" ht="24" customHeight="1">
      <x:c r="A151" t="str">
        <x:v>SYN-0150</x:v>
      </x:c>
      <x:c r="B151" t="str">
        <x:v>Safety edge cases</x:v>
      </x:c>
      <x:c r="C151" t="str">
        <x:v>Abstention trace not recorded</x:v>
      </x:c>
      <x:c r="D151" t="n">
        <x:v>17</x:v>
      </x:c>
      <x:c r="E151" t="str">
        <x:v>12–35</x:v>
      </x:c>
      <x:c r="F151" t="str">
        <x:v>Under 3</x:v>
      </x:c>
      <x:c r="G151" t="str">
        <x:v>no</x:v>
      </x:c>
      <x:c r="H151" t="str">
        <x:v>no</x:v>
      </x:c>
      <x:c r="I151" t="str">
        <x:v>Reject/hold unauthorized or invalid technical action; audit event</x:v>
      </x:c>
      <x:c r="J151" t="str">
        <x:v>ENGINEERING—RULE CHECK</x:v>
      </x:c>
      <x:c r="K151" t="str">
        <x:v>Not run</x:v>
      </x:c>
      <x:c r="L151" t="str"/>
      <x:c r="M151" t="str"/>
      <x:c r="N151" t="str">
        <x:v>Synthetic case blueprint; materialize using fixed-seed generator</x:v>
      </x:c>
    </x:row>
  </x:sheetData>
  <x:dataValidations count="2">
    <x:dataValidation type="list" sqref="K2:K151">
      <x:formula1>"Not run,Completed,Blocked,Excluded"</x:formula1>
    </x:dataValidation>
    <x:dataValidation type="list" sqref="M2:M151">
      <x:formula1>"Pass,Fail,Blocked,N/A"</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1" hidden="0" customWidth="1"/>
    <x:col min="3" max="3" width="43" hidden="0" customWidth="1"/>
    <x:col min="4" max="4" width="42" hidden="0" customWidth="1"/>
    <x:col min="5" max="5" width="77" hidden="0" customWidth="1"/>
    <x:col min="6" max="6" width="20" hidden="0" customWidth="1"/>
    <x:col min="7" max="7" width="19" hidden="0" customWidth="1"/>
  </x:cols>
  <x:sheetData>
    <x:row r="1" ht="30" customHeight="1">
      <x:c r="A1" s="5" t="str">
        <x:v>Metric ID</x:v>
      </x:c>
      <x:c r="B1" s="5" t="str">
        <x:v>Measure</x:v>
      </x:c>
      <x:c r="C1" s="5" t="str">
        <x:v>Numerator or result</x:v>
      </x:c>
      <x:c r="D1" s="5" t="str">
        <x:v>Denominator</x:v>
      </x:c>
      <x:c r="E1" s="5" t="str">
        <x:v>Interpretation caveat</x:v>
      </x:c>
      <x:c r="F1" s="5" t="str">
        <x:v>Oracle timing</x:v>
      </x:c>
      <x:c r="G1" s="5" t="str">
        <x:v>Domain</x:v>
      </x:c>
    </x:row>
    <x:row r="2" ht="24" customHeight="1">
      <x:c r="A2" t="str">
        <x:v>M01</x:v>
      </x:c>
      <x:c r="B2" t="str">
        <x:v>Technical oracle agreement</x:v>
      </x:c>
      <x:c r="C2" t="str">
        <x:v>Matching expected behavior</x:v>
      </x:c>
      <x:c r="D2" t="str">
        <x:v>Executed + oracle-approved cases</x:v>
      </x:c>
      <x:c r="E2" t="str">
        <x:v>Report n/N; blocked separately</x:v>
      </x:c>
      <x:c r="F2" t="str">
        <x:v>Before running</x:v>
      </x:c>
      <x:c r="G2" t="str">
        <x:v>Engineering</x:v>
      </x:c>
    </x:row>
    <x:row r="3" ht="24" customHeight="1">
      <x:c r="A3" t="str">
        <x:v>M02</x:v>
      </x:c>
      <x:c r="B3" t="str">
        <x:v>Required missing-field handling</x:v>
      </x:c>
      <x:c r="C3" t="str">
        <x:v>Correct hold/reject for prespecified cases</x:v>
      </x:c>
      <x:c r="D3" t="str">
        <x:v>Executed missing-required cases</x:v>
      </x:c>
      <x:c r="E3" t="str">
        <x:v>No confusion between unknown and negative</x:v>
      </x:c>
      <x:c r="F3" t="str">
        <x:v>Before running</x:v>
      </x:c>
      <x:c r="G3" t="str">
        <x:v>Engineering</x:v>
      </x:c>
    </x:row>
    <x:row r="4" ht="24" customHeight="1">
      <x:c r="A4" t="str">
        <x:v>M03</x:v>
      </x:c>
      <x:c r="B4" t="str">
        <x:v>Optional missing-field handling</x:v>
      </x:c>
      <x:c r="C4" t="str">
        <x:v>Preserve unknown and approved safe pathway</x:v>
      </x:c>
      <x:c r="D4" t="str">
        <x:v>Executed optional missingness cases</x:v>
      </x:c>
      <x:c r="E4" t="str">
        <x:v>Abstention rule needs reconciliation</x:v>
      </x:c>
      <x:c r="F4" t="str">
        <x:v>Before running</x:v>
      </x:c>
      <x:c r="G4" t="str">
        <x:v>Engineering</x:v>
      </x:c>
    </x:row>
    <x:row r="5" ht="24" customHeight="1">
      <x:c r="A5" t="str">
        <x:v>M04</x:v>
      </x:c>
      <x:c r="B5" t="str">
        <x:v>Conflict detection</x:v>
      </x:c>
      <x:c r="C5" t="str">
        <x:v>Conflicts surfaced and traceable</x:v>
      </x:c>
      <x:c r="D5" t="str">
        <x:v>Executed conflict scenarios</x:v>
      </x:c>
      <x:c r="E5" t="str">
        <x:v>Do not silently overwrite</x:v>
      </x:c>
      <x:c r="F5" t="str">
        <x:v>Before running</x:v>
      </x:c>
      <x:c r="G5" t="str">
        <x:v>Engineering</x:v>
      </x:c>
    </x:row>
    <x:row r="6" ht="24" customHeight="1">
      <x:c r="A6" t="str">
        <x:v>M05</x:v>
      </x:c>
      <x:c r="B6" t="str">
        <x:v>FHIR R4 validation</x:v>
      </x:c>
      <x:c r="C6" t="str">
        <x:v>FHIR-valid output fixtures</x:v>
      </x:c>
      <x:c r="D6" t="str">
        <x:v>Outputs submitted to R4 validator</x:v>
      </x:c>
      <x:c r="E6" t="str">
        <x:v>Record package/version; no unverifiable pass claims</x:v>
      </x:c>
      <x:c r="F6" t="str">
        <x:v>Before running</x:v>
      </x:c>
      <x:c r="G6" t="str">
        <x:v>Engineering</x:v>
      </x:c>
    </x:row>
    <x:row r="7" ht="24" customHeight="1">
      <x:c r="A7" t="str">
        <x:v>M06</x:v>
      </x:c>
      <x:c r="B7" t="str">
        <x:v>Clinician authority preserved</x:v>
      </x:c>
      <x:c r="C7" t="str">
        <x:v>No unauthorized definitive diagnosis/referral</x:v>
      </x:c>
      <x:c r="D7" t="str">
        <x:v>Executed authorization edge cases</x:v>
      </x:c>
      <x:c r="E7" t="str">
        <x:v>Approval-state modeling may be provisional</x:v>
      </x:c>
      <x:c r="F7" t="str">
        <x:v>Before running</x:v>
      </x:c>
      <x:c r="G7" t="str">
        <x:v>Safety</x:v>
      </x:c>
    </x:row>
    <x:row r="8" ht="24" customHeight="1">
      <x:c r="A8" t="str">
        <x:v>M07</x:v>
      </x:c>
      <x:c r="B8" t="str">
        <x:v>Traceability completeness</x:v>
      </x:c>
      <x:c r="C8" t="str">
        <x:v>All defined evidence/rule provenance present</x:v>
      </x:c>
      <x:c r="D8" t="str">
        <x:v>Executed cases requiring trace</x:v>
      </x:c>
      <x:c r="E8" t="str">
        <x:v>Use per-field audit requirements</x:v>
      </x:c>
      <x:c r="F8" t="str">
        <x:v>Before running</x:v>
      </x:c>
      <x:c r="G8" t="str">
        <x:v>Safety</x:v>
      </x:c>
    </x:row>
    <x:row r="9" ht="24" customHeight="1">
      <x:c r="A9" t="str">
        <x:v>M08</x:v>
      </x:c>
      <x:c r="B9" t="str">
        <x:v>Audit event completeness</x:v>
      </x:c>
      <x:c r="C9" t="str">
        <x:v>Required audit fields present</x:v>
      </x:c>
      <x:c r="D9" t="str">
        <x:v>Executed events</x:v>
      </x:c>
      <x:c r="E9" t="str">
        <x:v>Track fail/missing explicitly</x:v>
      </x:c>
      <x:c r="F9" t="str">
        <x:v>Before running</x:v>
      </x:c>
      <x:c r="G9" t="str">
        <x:v>Safety</x:v>
      </x:c>
    </x:row>
    <x:row r="10" ht="24" customHeight="1">
      <x:c r="A10" t="str">
        <x:v>M09</x:v>
      </x:c>
      <x:c r="B10" t="str">
        <x:v>Age subgroup behavior</x:v>
      </x:c>
      <x:c r="C10" t="str">
        <x:v>Behavior stratified across under 3 / 3–5</x:v>
      </x:c>
      <x:c r="D10" t="str">
        <x:v>Executed, eligible cases in subgroup</x:v>
      </x:c>
      <x:c r="E10" t="str">
        <x:v>Exploratory; not real-world fairness</x:v>
      </x:c>
      <x:c r="F10" t="str">
        <x:v>After run</x:v>
      </x:c>
      <x:c r="G10" t="str">
        <x:v>Descriptive</x:v>
      </x:c>
    </x:row>
    <x:row r="11" ht="24" customHeight="1">
      <x:c r="A11" t="str">
        <x:v>M10</x:v>
      </x:c>
      <x:c r="B11" t="str">
        <x:v>Clinical risk detection accuracy</x:v>
      </x:c>
      <x:c r="C11" t="str">
        <x:v>NOT ASSESSED</x:v>
      </x:c>
      <x:c r="D11" t="str">
        <x:v>N/A</x:v>
      </x:c>
      <x:c r="E11" t="str">
        <x:v>No clinical ground truth; no sensitivity/specificity</x:v>
      </x:c>
      <x:c r="F11" t="str">
        <x:v>Not applicable</x:v>
      </x:c>
      <x:c r="G11" t="str">
        <x:v>Clinical</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45" hidden="0" customWidth="1"/>
    <x:col min="3" max="3" width="83" hidden="0" customWidth="1"/>
    <x:col min="4" max="4" width="24" hidden="0" customWidth="1"/>
    <x:col min="5" max="5" width="33" hidden="0" customWidth="1"/>
  </x:cols>
  <x:sheetData>
    <x:row r="1" ht="30" customHeight="1">
      <x:c r="A1" s="5" t="str">
        <x:v>Rule ID</x:v>
      </x:c>
      <x:c r="B1" s="5" t="str">
        <x:v>Rule</x:v>
      </x:c>
      <x:c r="C1" s="5" t="str">
        <x:v>Expected engineering response</x:v>
      </x:c>
      <x:c r="D1" s="5" t="str">
        <x:v>Area</x:v>
      </x:c>
      <x:c r="E1" s="5" t="str">
        <x:v>Readiness</x:v>
      </x:c>
    </x:row>
    <x:row r="2" ht="24" customHeight="1">
      <x:c r="A2" t="str">
        <x:v>R01</x:v>
      </x:c>
      <x:c r="B2" t="str">
        <x:v>Age derived from birth date and encounter timestamp</x:v>
      </x:c>
      <x:c r="C2" t="str">
        <x:v>Missing date -&gt; invalid fixture/hold; 0–71 months eligible</x:v>
      </x:c>
      <x:c r="D2" t="str">
        <x:v>Required data quality</x:v>
      </x:c>
      <x:c r="E2" t="str">
        <x:v>Approved technical</x:v>
      </x:c>
    </x:row>
    <x:row r="3" ht="24" customHeight="1">
      <x:c r="A3" t="str">
        <x:v>R02</x:v>
      </x:c>
      <x:c r="B3" t="str">
        <x:v>Unknown is distinct from no</x:v>
      </x:c>
      <x:c r="C3" t="str">
        <x:v>Unknown retained; never imputed negative</x:v>
      </x:c>
      <x:c r="D3" t="str">
        <x:v>Missingness</x:v>
      </x:c>
      <x:c r="E3" t="str">
        <x:v>Approved technical</x:v>
      </x:c>
    </x:row>
    <x:row r="4" ht="24" customHeight="1">
      <x:c r="A4" t="str">
        <x:v>R03</x:v>
      </x:c>
      <x:c r="B4" t="str">
        <x:v>Caregiver report != confirmed diagnosis</x:v>
      </x:c>
      <x:c r="C4" t="str">
        <x:v>Preserve source and clinician confirmation status</x:v>
      </x:c>
      <x:c r="D4" t="str">
        <x:v>Provenance</x:v>
      </x:c>
      <x:c r="E4" t="str">
        <x:v>Clinical review pending</x:v>
      </x:c>
    </x:row>
    <x:row r="5" ht="24" customHeight="1">
      <x:c r="A5" t="str">
        <x:v>R04</x:v>
      </x:c>
      <x:c r="B5" t="str">
        <x:v>Duplicate identifier detection</x:v>
      </x:c>
      <x:c r="C5" t="str">
        <x:v>Reject/flag synthetic identifier collision</x:v>
      </x:c>
      <x:c r="D5" t="str">
        <x:v>Identity</x:v>
      </x:c>
      <x:c r="E5" t="str">
        <x:v>Approved technical</x:v>
      </x:c>
    </x:row>
    <x:row r="6" ht="24" customHeight="1">
      <x:c r="A6" t="str">
        <x:v>R05</x:v>
      </x:c>
      <x:c r="B6" t="str">
        <x:v>Invalid/malformed FHIR input</x:v>
      </x:c>
      <x:c r="C6" t="str">
        <x:v>FHIR validator rejects/returns errors; log response</x:v>
      </x:c>
      <x:c r="D6" t="str">
        <x:v>Interoperability</x:v>
      </x:c>
      <x:c r="E6" t="str">
        <x:v>Validator specifics pending</x:v>
      </x:c>
    </x:row>
    <x:row r="7" ht="24" customHeight="1">
      <x:c r="A7" t="str">
        <x:v>R06</x:v>
      </x:c>
      <x:c r="B7" t="str">
        <x:v>Conflicting history or observations</x:v>
      </x:c>
      <x:c r="C7" t="str">
        <x:v>Escalate conflict for review; no auto-resolution</x:v>
      </x:c>
      <x:c r="D7" t="str">
        <x:v>Safety</x:v>
      </x:c>
      <x:c r="E7" t="str">
        <x:v>Local statuses need review</x:v>
      </x:c>
    </x:row>
    <x:row r="8" ht="24" customHeight="1">
      <x:c r="A8" t="str">
        <x:v>R07</x:v>
      </x:c>
      <x:c r="B8" t="str">
        <x:v>Unauthorized referral or diagnosis request</x:v>
      </x:c>
      <x:c r="C8" t="str">
        <x:v>Disallow autonomous final clinical action</x:v>
      </x:c>
      <x:c r="D8" t="str">
        <x:v>Human oversight</x:v>
      </x:c>
      <x:c r="E8" t="str">
        <x:v>Exact Task mapping pending</x:v>
      </x:c>
    </x:row>
    <x:row r="9" ht="24" customHeight="1">
      <x:c r="A9" t="str">
        <x:v>R08</x:v>
      </x:c>
      <x:c r="B9" t="str">
        <x:v>Missing trace/audit attributes</x:v>
      </x:c>
      <x:c r="C9" t="str">
        <x:v>Flag incomplete evidence trail</x:v>
      </x:c>
      <x:c r="D9" t="str">
        <x:v>Auditability</x:v>
      </x:c>
      <x:c r="E9" t="str">
        <x:v>Field requirements pending</x:v>
      </x:c>
    </x:row>
    <x:row r="10" ht="24" customHeight="1">
      <x:c r="A10" t="str">
        <x:v>R09</x:v>
      </x:c>
      <x:c r="B10" t="str">
        <x:v>Terminology code not reviewed</x:v>
      </x:c>
      <x:c r="C10" t="str">
        <x:v>Keep local research code; do not claim semantic interoperability</x:v>
      </x:c>
      <x:c r="D10" t="str">
        <x:v>Terminology</x:v>
      </x:c>
      <x:c r="E10" t="str">
        <x:v>Expert review required</x:v>
      </x:c>
    </x:row>
    <x:row r="11" ht="24" customHeight="1">
      <x:c r="A11" t="str">
        <x:v>R10</x:v>
      </x:c>
      <x:c r="B11" t="str">
        <x:v>Clinical threshold/risk class</x:v>
      </x:c>
      <x:c r="C11" t="str">
        <x:v>Do not lock or measure clinical classifier targets</x:v>
      </x:c>
      <x:c r="D11" t="str">
        <x:v>Clinical claim</x:v>
      </x:c>
      <x:c r="E11" t="str">
        <x:v>BLOCKED pending clinical review</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46" hidden="0" customWidth="1"/>
    <x:col min="3" max="3" width="36" hidden="0" customWidth="1"/>
    <x:col min="4" max="4" width="36" hidden="0" customWidth="1"/>
    <x:col min="5" max="5" width="70" hidden="0" customWidth="1"/>
  </x:cols>
  <x:sheetData>
    <x:row r="1" ht="30" customHeight="1">
      <x:c r="A1" s="5" t="str">
        <x:v>Resource</x:v>
      </x:c>
      <x:c r="B1" s="5" t="str">
        <x:v>Proposed elements</x:v>
      </x:c>
      <x:c r="C1" s="5" t="str">
        <x:v>Evaluation purpose</x:v>
      </x:c>
      <x:c r="D1" s="5" t="str">
        <x:v>Maturity</x:v>
      </x:c>
      <x:c r="E1" s="5" t="str">
        <x:v>Reference</x:v>
      </x:c>
    </x:row>
    <x:row r="2" ht="24" customHeight="1">
      <x:c r="A2" t="str">
        <x:v>Patient</x:v>
      </x:c>
      <x:c r="B2" t="str">
        <x:v>Patient.identifier / birthDate</x:v>
      </x:c>
      <x:c r="C2" t="str">
        <x:v>Pseudonym, date</x:v>
      </x:c>
      <x:c r="D2" t="str">
        <x:v>Confirmed structural</x:v>
      </x:c>
      <x:c r="E2" t="str">
        <x:v>https://hl7.org/fhir/R4/patient.html</x:v>
      </x:c>
    </x:row>
    <x:row r="3" ht="24" customHeight="1">
      <x:c r="A3" t="str">
        <x:v>Encounter</x:v>
      </x:c>
      <x:c r="B3" t="str">
        <x:v>Encounter.period.start</x:v>
      </x:c>
      <x:c r="C3" t="str">
        <x:v>Encounter time</x:v>
      </x:c>
      <x:c r="D3" t="str">
        <x:v>Confirmed structural</x:v>
      </x:c>
      <x:c r="E3" t="str">
        <x:v>https://hl7.org/fhir/R4/encounter.html</x:v>
      </x:c>
    </x:row>
    <x:row r="4" ht="24" customHeight="1">
      <x:c r="A4" t="str">
        <x:v>FamilyMemberHistory</x:v>
      </x:c>
      <x:c r="B4" t="str">
        <x:v>condition.code / relationship</x:v>
      </x:c>
      <x:c r="C4" t="str">
        <x:v>Family history</x:v>
      </x:c>
      <x:c r="D4" t="str">
        <x:v>Code selection pending</x:v>
      </x:c>
      <x:c r="E4" t="str">
        <x:v>https://hl7.org/fhir/R4/familymemberhistory.html</x:v>
      </x:c>
    </x:row>
    <x:row r="5" ht="24" customHeight="1">
      <x:c r="A5" t="str">
        <x:v>Observation</x:v>
      </x:c>
      <x:c r="B5" t="str">
        <x:v>code / value[x] / performer</x:v>
      </x:c>
      <x:c r="C5" t="str">
        <x:v>Alignment/screening finding</x:v>
      </x:c>
      <x:c r="D5" t="str">
        <x:v>Terminology pending</x:v>
      </x:c>
      <x:c r="E5" t="str">
        <x:v>https://hl7.org/fhir/R4/observation.html</x:v>
      </x:c>
    </x:row>
    <x:row r="6" ht="24" customHeight="1">
      <x:c r="A6" t="str">
        <x:v>Task</x:v>
      </x:c>
      <x:c r="B6" t="str">
        <x:v>status / businessStatus / owner</x:v>
      </x:c>
      <x:c r="C6" t="str">
        <x:v>Clinician review and referral workflow</x:v>
      </x:c>
      <x:c r="D6" t="str">
        <x:v>Local state mapping pending</x:v>
      </x:c>
      <x:c r="E6" t="str">
        <x:v>https://hl7.org/fhir/R4/task.html</x:v>
      </x:c>
    </x:row>
    <x:row r="7" ht="24" customHeight="1">
      <x:c r="A7" t="str">
        <x:v>Provenance</x:v>
      </x:c>
      <x:c r="B7" t="str">
        <x:v>target / agent / recorded</x:v>
      </x:c>
      <x:c r="C7" t="str">
        <x:v>Source attribution</x:v>
      </x:c>
      <x:c r="D7" t="str">
        <x:v>Implementation details pending</x:v>
      </x:c>
      <x:c r="E7" t="str">
        <x:v>https://hl7.org/fhir/R4/provenance.html</x:v>
      </x:c>
    </x:row>
    <x:row r="8" ht="24" customHeight="1">
      <x:c r="A8" t="str">
        <x:v>AuditEvent</x:v>
      </x:c>
      <x:c r="B8" t="str">
        <x:v>type / agent / recorded / source</x:v>
      </x:c>
      <x:c r="C8" t="str">
        <x:v>Audit accountability</x:v>
      </x:c>
      <x:c r="D8" t="str">
        <x:v>Implementation details pending</x:v>
      </x:c>
      <x:c r="E8" t="str">
        <x:v>https://hl7.org/fhir/R4/auditevent.html</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98" hidden="0" customWidth="1"/>
  </x:cols>
  <x:sheetData>
    <x:row r="1" ht="30" customHeight="1">
      <x:c r="A1" s="5" t="str">
        <x:v>Field</x:v>
      </x:c>
      <x:c r="B1" s="5" t="str">
        <x:v>Value</x:v>
      </x:c>
    </x:row>
    <x:row r="2" ht="24" customHeight="1">
      <x:c r="A2" t="str">
        <x:v>Run ID</x:v>
      </x:c>
      <x:c r="B2" t="str"/>
    </x:row>
    <x:row r="3" ht="24" customHeight="1">
      <x:c r="A3" t="str">
        <x:v>Baseline tag</x:v>
      </x:c>
      <x:c r="B3" t="str">
        <x:v>v0.1</x:v>
      </x:c>
    </x:row>
    <x:row r="4" ht="24" customHeight="1">
      <x:c r="A4" t="str">
        <x:v>Baseline commit</x:v>
      </x:c>
      <x:c r="B4" t="str">
        <x:v>0c30d7c</x:v>
      </x:c>
    </x:row>
    <x:row r="5" ht="24" customHeight="1">
      <x:c r="A5" t="str">
        <x:v>Run timestamp</x:v>
      </x:c>
      <x:c r="B5" t="str"/>
    </x:row>
    <x:row r="6" ht="24" customHeight="1">
      <x:c r="A6" t="str">
        <x:v>Runner / reviewer</x:v>
      </x:c>
      <x:c r="B6" t="str"/>
    </x:row>
    <x:row r="7" ht="24" customHeight="1">
      <x:c r="A7" t="str">
        <x:v>Code branch + SHA</x:v>
      </x:c>
      <x:c r="B7" t="str"/>
    </x:row>
    <x:row r="8" ht="24" customHeight="1">
      <x:c r="A8" t="str">
        <x:v>Environment / Python</x:v>
      </x:c>
      <x:c r="B8" t="str"/>
    </x:row>
    <x:row r="9" ht="24" customHeight="1">
      <x:c r="A9" t="str">
        <x:v>FHIR validator + version</x:v>
      </x:c>
      <x:c r="B9" t="str"/>
    </x:row>
    <x:row r="10" ht="24" customHeight="1">
      <x:c r="A10" t="str">
        <x:v>FHIR profile packages</x:v>
      </x:c>
      <x:c r="B10" t="str"/>
    </x:row>
    <x:row r="11" ht="24" customHeight="1">
      <x:c r="A11" t="str">
        <x:v>Synthetic generator version + seed</x:v>
      </x:c>
      <x:c r="B11" t="str"/>
    </x:row>
    <x:row r="12" ht="24" customHeight="1">
      <x:c r="A12" t="str">
        <x:v>Oracle approval version</x:v>
      </x:c>
      <x:c r="B12" t="str"/>
    </x:row>
    <x:row r="13" ht="24" customHeight="1">
      <x:c r="A13" t="str">
        <x:v>Number planned</x:v>
      </x:c>
      <x:c r="B13" t="n">
        <x:v>150</x:v>
      </x:c>
    </x:row>
    <x:row r="14" ht="24" customHeight="1">
      <x:c r="A14" t="str">
        <x:v>Number run</x:v>
      </x:c>
      <x:c r="B14" t="n">
        <x:f>COUNTIF('Case Manifest'!K2:K151,"Completed")</x:f>
        <x:v>0</x:v>
      </x:c>
    </x:row>
    <x:row r="15" ht="24" customHeight="1">
      <x:c r="A15" t="str">
        <x:v>Passed</x:v>
      </x:c>
      <x:c r="B15" t="n">
        <x:f>COUNTIF('Case Manifest'!M2:M151,"Pass")</x:f>
        <x:v>0</x:v>
      </x:c>
    </x:row>
    <x:row r="16" ht="24" customHeight="1">
      <x:c r="A16" t="str">
        <x:v>Failed</x:v>
      </x:c>
      <x:c r="B16" t="n">
        <x:f>COUNTIF('Case Manifest'!M2:M151,"Fail")</x:f>
        <x:v>0</x:v>
      </x:c>
    </x:row>
    <x:row r="17" ht="24" customHeight="1">
      <x:c r="A17" t="str">
        <x:v>Blocked</x:v>
      </x:c>
      <x:c r="B17" t="n">
        <x:f>COUNTIF('Case Manifest'!M2:M151,"Blocked")</x:f>
        <x:v>0</x:v>
      </x:c>
    </x:row>
    <x:row r="18" ht="24" customHeight="1">
      <x:c r="A18" t="str">
        <x:v>Notes</x:v>
      </x:c>
      <x:c r="B18" t="str">
        <x:v>Do not infer actual test results from prefilled expectations</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6" hidden="0" customWidth="1"/>
    <x:col min="2" max="2" width="20" hidden="0" customWidth="1"/>
    <x:col min="3" max="3" width="42" hidden="0" customWidth="1"/>
    <x:col min="4" max="4" width="100" hidden="0" customWidth="1"/>
  </x:cols>
  <x:sheetData>
    <x:row r="1" ht="30" customHeight="1">
      <x:c r="A1" s="5" t="str">
        <x:v>Gate</x:v>
      </x:c>
      <x:c r="B1" s="5" t="str">
        <x:v>Status</x:v>
      </x:c>
      <x:c r="C1" s="5" t="str">
        <x:v>Suggested reviewer</x:v>
      </x:c>
      <x:c r="D1" s="5" t="str">
        <x:v>Closeout requirement</x:v>
      </x:c>
    </x:row>
    <x:row r="2" ht="24" customHeight="1">
      <x:c r="A2" t="str">
        <x:v>Technical oracle review</x:v>
      </x:c>
      <x:c r="B2" t="str">
        <x:v>Pending</x:v>
      </x:c>
      <x:c r="C2" t="str">
        <x:v>Research investigator</x:v>
      </x:c>
      <x:c r="D2" t="str">
        <x:v>Define expected rule behavior against existing v0.1 code</x:v>
      </x:c>
    </x:row>
    <x:row r="3" ht="24" customHeight="1">
      <x:c r="A3" t="str">
        <x:v>FHIR payload structure</x:v>
      </x:c>
      <x:c r="B3" t="str">
        <x:v>Pending</x:v>
      </x:c>
      <x:c r="C3" t="str">
        <x:v>FHIR reviewer</x:v>
      </x:c>
      <x:c r="D3" t="str">
        <x:v>Select R4 validator, profiles, and fixture schema</x:v>
      </x:c>
    </x:row>
    <x:row r="4" ht="24" customHeight="1">
      <x:c r="A4" t="str">
        <x:v>Clinical terminology</x:v>
      </x:c>
      <x:c r="B4" t="str">
        <x:v>Pending</x:v>
      </x:c>
      <x:c r="C4" t="str">
        <x:v>Pediatric ophthalmology + informatics reviewer</x:v>
      </x:c>
      <x:c r="D4" t="str">
        <x:v>Review SNOMED/LOINC for clinical findings</x:v>
      </x:c>
    </x:row>
    <x:row r="5" ht="24" customHeight="1">
      <x:c r="A5" t="str">
        <x:v>Risk thresholds / referral escalation</x:v>
      </x:c>
      <x:c r="B5" t="str">
        <x:v>BLOCKED</x:v>
      </x:c>
      <x:c r="C5" t="str">
        <x:v>Clinician</x:v>
      </x:c>
      <x:c r="D5" t="str">
        <x:v>Not for synthetic clinical classification claims yet</x:v>
      </x:c>
    </x:row>
    <x:row r="6" ht="24" customHeight="1">
      <x:c r="A6" t="str">
        <x:v>Case generator reproducibility</x:v>
      </x:c>
      <x:c r="B6" t="str">
        <x:v>Pending</x:v>
      </x:c>
      <x:c r="C6" t="str">
        <x:v>Developer</x:v>
      </x:c>
      <x:c r="D6" t="str">
        <x:v>Fix seed, generator commit, deterministic fixture manifest</x:v>
      </x:c>
    </x:row>
    <x:row r="7" ht="24" customHeight="1">
      <x:c r="A7" t="str">
        <x:v>Clinical sampling claims</x:v>
      </x:c>
      <x:c r="B7" t="str">
        <x:v>NOT APPLICABLE</x:v>
      </x:c>
      <x:c r="C7" t="str">
        <x:v>Research team</x:v>
      </x:c>
      <x:c r="D7" t="str">
        <x:v>Quota sample is not representative</x:v>
      </x:c>
    </x:row>
    <x:row r="8" ht="24" customHeight="1">
      <x:c r="A8" t="str">
        <x:v>UAT crosswalk</x:v>
      </x:c>
      <x:c r="B8" t="str">
        <x:v>Pending</x:v>
      </x:c>
      <x:c r="C8" t="str">
        <x:v>Research investigator</x:v>
      </x:c>
      <x:c r="D8" t="str">
        <x:v>Map each oracle to specific v0.1 function and prior UAT case</x:v>
      </x:c>
    </x:row>
    <x:row r="9" ht="24" customHeight="1">
      <x:c r="A9" t="str">
        <x:v>Protocol alignment</x:v>
      </x:c>
      <x:c r="B9" t="str">
        <x:v>Pending</x:v>
      </x:c>
      <x:c r="C9" t="str">
        <x:v>Research investigator</x:v>
      </x:c>
      <x:c r="D9" t="str">
        <x:v>Review methods and outcomes against protocol v1.0</x:v>
      </x:c>
    </x:row>
  </x:sheetData>
  <x:dataValidations count="1">
    <x:dataValidation type="list" sqref="B2:B9">
      <x:formula1>"Pending,In review,Approved,BLOCKED,NOT APPLICABLE"</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17" hidden="0" customWidth="1"/>
    <x:col min="3" max="3" width="4" hidden="0" customWidth="1"/>
    <x:col min="4" max="4" width="26" hidden="0" customWidth="1"/>
    <x:col min="5" max="5" width="15"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s>
  <x:sheetData>
    <x:row r="1" ht="27" customHeight="1">
      <x:c r="A1" s="13" t="str">
        <x:v>PEDIATRIC VISION AI  |  SYNTHETIC EVALUATION DASHBOARD</x:v>
      </x:c>
      <x:c r="B1" s="13"/>
      <x:c r="C1" s="13"/>
      <x:c r="D1" s="13"/>
      <x:c r="E1" s="13"/>
      <x:c r="F1" s="13"/>
      <x:c r="G1" s="13"/>
      <x:c r="H1" s="13"/>
      <x:c r="I1" s="13"/>
      <x:c r="J1" s="13"/>
      <x:c r="K1" s="13"/>
      <x:c r="L1" s="13"/>
      <x:c r="M1" s="13"/>
      <x:c r="N1" s="13"/>
    </x:row>
    <x:row r="2" ht="27" customHeight="1">
      <x:c r="A2" s="13"/>
      <x:c r="B2" s="13"/>
      <x:c r="C2" s="13"/>
      <x:c r="D2" s="13"/>
      <x:c r="E2" s="13"/>
      <x:c r="F2" s="13"/>
      <x:c r="G2" s="13"/>
      <x:c r="H2" s="13"/>
      <x:c r="I2" s="13"/>
      <x:c r="J2" s="13"/>
      <x:c r="K2" s="13"/>
      <x:c r="L2" s="13"/>
      <x:c r="M2" s="13"/>
      <x:c r="N2" s="13"/>
    </x:row>
    <x:row r="3" ht="24" customHeight="1">
      <x:c r="A3" s="15" t="str">
        <x:v>Planning view • 150 synthetic scenarios • Baseline v0.1 (0c30d7c) • No clinical validation or diagnostic claims</x:v>
      </x:c>
      <x:c r="B3" s="15"/>
      <x:c r="C3" s="15"/>
      <x:c r="D3" s="15"/>
      <x:c r="E3" s="15"/>
      <x:c r="F3" s="15"/>
      <x:c r="G3" s="15"/>
      <x:c r="H3" s="15"/>
      <x:c r="I3" s="15"/>
      <x:c r="J3" s="15"/>
      <x:c r="K3" s="15"/>
      <x:c r="L3" s="15"/>
      <x:c r="M3" s="15"/>
      <x:c r="N3" s="15"/>
    </x:row>
    <x:row r="5" ht="25" customHeight="1">
      <x:c r="A5" s="21" t="str">
        <x:v>PLANNED CASES</x:v>
      </x:c>
      <x:c r="B5" s="21" t="str">
        <x:v>COUNT</x:v>
      </x:c>
      <x:c r="D5" s="21" t="str">
        <x:v>AGE SUBGROUP</x:v>
      </x:c>
      <x:c r="E5" s="21" t="str">
        <x:v>CASES</x:v>
      </x:c>
    </x:row>
    <x:row r="6">
      <x:c r="A6" t="str">
        <x:v>Routine completeness</x:v>
      </x:c>
      <x:c r="B6" t="n">
        <x:f>COUNTIF('Case Manifest'!$B$2:$B$151,A6)</x:f>
        <x:v>40</x:v>
      </x:c>
      <x:c r="D6" t="str">
        <x:v>Under 3</x:v>
      </x:c>
      <x:c r="E6" t="n">
        <x:f>COUNTIF('Case Manifest'!$F$2:$F$151,D6)</x:f>
        <x:v>87</x:v>
      </x:c>
    </x:row>
    <x:row r="7">
      <x:c r="A7" t="str">
        <x:v>Elevated concern (reported)</x:v>
      </x:c>
      <x:c r="B7" t="n">
        <x:f>COUNTIF('Case Manifest'!$B$2:$B$151,A7)</x:f>
        <x:v>30</x:v>
      </x:c>
      <x:c r="D7" t="str">
        <x:v>3–5</x:v>
      </x:c>
      <x:c r="E7" t="n">
        <x:f>COUNTIF('Case Manifest'!$F$2:$F$151,D7)</x:f>
        <x:v>63</x:v>
      </x:c>
    </x:row>
    <x:row r="8">
      <x:c r="A8" t="str">
        <x:v>Missing information</x:v>
      </x:c>
      <x:c r="B8" t="n">
        <x:f>COUNTIF('Case Manifest'!$B$2:$B$151,A8)</x:f>
        <x:v>30</x:v>
      </x:c>
    </x:row>
    <x:row r="9" ht="25" customHeight="1">
      <x:c r="A9" t="str">
        <x:v>Conflicting information</x:v>
      </x:c>
      <x:c r="B9" t="n">
        <x:f>COUNTIF('Case Manifest'!$B$2:$B$151,A9)</x:f>
        <x:v>25</x:v>
      </x:c>
      <x:c r="D9" s="21" t="str">
        <x:v>EXECUTION STATUS</x:v>
      </x:c>
      <x:c r="E9" s="21" t="str">
        <x:v>CASES</x:v>
      </x:c>
    </x:row>
    <x:row r="10">
      <x:c r="A10" t="str">
        <x:v>Safety edge cases</x:v>
      </x:c>
      <x:c r="B10" t="n">
        <x:f>COUNTIF('Case Manifest'!$B$2:$B$151,A10)</x:f>
        <x:v>25</x:v>
      </x:c>
      <x:c r="D10" t="str">
        <x:v>Not run</x:v>
      </x:c>
      <x:c r="E10" t="n">
        <x:f>COUNTIF('Case Manifest'!$K$2:$K$151,D10)</x:f>
        <x:v>150</x:v>
      </x:c>
    </x:row>
    <x:row r="11">
      <x:c r="A11" s="23" t="str">
        <x:v>TOTAL</x:v>
      </x:c>
      <x:c r="B11" s="23" t="n">
        <x:f>SUM(B6:B10)</x:f>
        <x:v>150</x:v>
      </x:c>
      <x:c r="D11" t="str">
        <x:v>Passed</x:v>
      </x:c>
      <x:c r="E11" t="n">
        <x:f>COUNTIF('Case Manifest'!$K$2:$K$151,D11)</x:f>
        <x:v>0</x:v>
      </x:c>
    </x:row>
    <x:row r="12">
      <x:c r="D12" t="str">
        <x:v>Failed</x:v>
      </x:c>
      <x:c r="E12" t="n">
        <x:f>COUNTIF('Case Manifest'!$K$2:$K$151,D12)</x:f>
        <x:v>0</x:v>
      </x:c>
    </x:row>
    <x:row r="13">
      <x:c r="D13" t="str">
        <x:v>Other / blocked</x:v>
      </x:c>
      <x:c r="E13" t="n">
        <x:f>COUNTA('Case Manifest'!$A$2:$A$151)-SUM(E10:E12)</x:f>
        <x:v>0</x:v>
      </x:c>
    </x:row>
    <x:row r="14">
      <x:c r="A14" s="23" t="str">
        <x:v>EXECUTION COMPLETED</x:v>
      </x:c>
      <x:c r="B14" s="23" t="n">
        <x:f>SUM(E11:E12)</x:f>
        <x:v>0</x:v>
      </x:c>
    </x:row>
    <x:row r="15">
      <x:c r="A15" s="23" t="str">
        <x:v>PASS RATE (EXECUTED)</x:v>
      </x:c>
      <x:c r="B15" s="25" t="n">
        <x:f>IFERROR(E11/B14,0)</x:f>
        <x:v>0</x:v>
      </x:c>
    </x:row>
    <x:row r="17" ht="28" customHeight="1">
      <x:c r="A17" s="19" t="str">
        <x:v>INTERPRETATION: Scenario allocation and age coverage are planning metrics. Test status is initially 'Not run'. Passing technical scenarios does not demonstrate clinical sensitivity, specificity, safety, or effectiveness. Clinical terminology and referral rules remain pending expert review.</x:v>
      </x:c>
      <x:c r="B17" s="19"/>
      <x:c r="C17" s="19"/>
      <x:c r="D17" s="19"/>
      <x:c r="E17" s="19"/>
      <x:c r="F17" s="19"/>
      <x:c r="G17" s="19"/>
      <x:c r="H17" s="19"/>
      <x:c r="I17" s="19"/>
      <x:c r="J17" s="19"/>
      <x:c r="K17" s="19"/>
      <x:c r="L17" s="19"/>
      <x:c r="M17" s="19"/>
      <x:c r="N17" s="19"/>
    </x:row>
    <x:row r="18" ht="28" customHeight="1">
      <x:c r="A18" s="19"/>
      <x:c r="B18" s="19"/>
      <x:c r="C18" s="19"/>
      <x:c r="D18" s="19"/>
      <x:c r="E18" s="19"/>
      <x:c r="F18" s="19"/>
      <x:c r="G18" s="19"/>
      <x:c r="H18" s="19"/>
      <x:c r="I18" s="19"/>
      <x:c r="J18" s="19"/>
      <x:c r="K18" s="19"/>
      <x:c r="L18" s="19"/>
      <x:c r="M18" s="19"/>
      <x:c r="N18" s="19"/>
    </x:row>
    <x:row r="19">
      <x:c r="A19" s="26" t="str">
        <x:v>Dashboard counts update when the Case Manifest execution-status column is edited.</x:v>
      </x:c>
      <x:c r="B19" s="26"/>
      <x:c r="C19" s="26"/>
      <x:c r="D19" s="26"/>
      <x:c r="E19" s="26"/>
      <x:c r="F19" s="26"/>
      <x:c r="G19" s="26"/>
      <x:c r="H19" s="26"/>
      <x:c r="I19" s="26"/>
      <x:c r="J19" s="26"/>
      <x:c r="K19" s="26"/>
      <x:c r="L19" s="26"/>
      <x:c r="M19" s="26"/>
      <x:c r="N19" s="26"/>
    </x:row>
  </x:sheetData>
  <x:mergeCells>
    <x:mergeCell ref="A1:N2"/>
    <x:mergeCell ref="A3:N3"/>
    <x:mergeCell ref="A17:N18"/>
  </x:mergeCells>
  <x:pageMargins left="0.7" right="0.7" top="0.75" bottom="0.75" header="0.3" footer="0.3"/>
  <x:drawing xmlns:r="http://schemas.openxmlformats.org/officeDocument/2006/relationships" r:id="R87996dbabef24bc2"/>
</x:worksheet>
</file>